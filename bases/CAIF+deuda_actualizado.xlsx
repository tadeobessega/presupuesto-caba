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65" firstSheet="0" activeTab="7" autoFilterDateGrouping="1"/>
  </bookViews>
  <sheets>
    <sheet xmlns:r="http://schemas.openxmlformats.org/officeDocument/2006/relationships" name="dataset- CAIF corriente" sheetId="1" state="visible" r:id="rId1"/>
    <sheet xmlns:r="http://schemas.openxmlformats.org/officeDocument/2006/relationships" name="ipc" sheetId="2" state="visible" r:id="rId2"/>
    <sheet xmlns:r="http://schemas.openxmlformats.org/officeDocument/2006/relationships" name="constante" sheetId="3" state="visible" r:id="rId3"/>
    <sheet xmlns:r="http://schemas.openxmlformats.org/officeDocument/2006/relationships" name="dataset-titulos emitidos" sheetId="4" state="visible" r:id="rId4"/>
    <sheet xmlns:r="http://schemas.openxmlformats.org/officeDocument/2006/relationships" name="emisiones" sheetId="5" state="visible" r:id="rId5"/>
    <sheet xmlns:r="http://schemas.openxmlformats.org/officeDocument/2006/relationships" name="dataset-stock de deuda" sheetId="6" state="visible" r:id="rId6"/>
    <sheet xmlns:r="http://schemas.openxmlformats.org/officeDocument/2006/relationships" name="tabla" sheetId="7" state="visible" r:id="rId7"/>
    <sheet xmlns:r="http://schemas.openxmlformats.org/officeDocument/2006/relationships" name="query" sheetId="8" state="visible" r:id="rId8"/>
    <sheet xmlns:r="http://schemas.openxmlformats.org/officeDocument/2006/relationships" name="IDECBA gasto finalidad" sheetId="9" state="visible" r:id="rId9"/>
    <sheet xmlns:r="http://schemas.openxmlformats.org/officeDocument/2006/relationships" name="IDECBA stock deuda 2025" sheetId="10" state="visible" r:id="rId10"/>
    <sheet xmlns:r="http://schemas.openxmlformats.org/officeDocument/2006/relationships" name="IDECBA titulos 2025" sheetId="11" state="visible" r:id="rId11"/>
  </sheets>
  <definedNames>
    <definedName name="DatosExternos_1" localSheetId="7" hidden="1">query!$A$1:$D$946</definedName>
  </definedNames>
  <calcPr calcId="191029" fullCalcOnLoad="1"/>
  <pivotCaches>
    <pivotCache xmlns:r="http://schemas.openxmlformats.org/officeDocument/2006/relationships" cacheId="1" r:id="rId12"/>
  </pivotCaches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%"/>
    <numFmt numFmtId="167" formatCode="0.0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 Unicode MS"/>
      <color rgb="FF000000"/>
      <sz val="10"/>
    </font>
    <font>
      <name val="Arial"/>
      <family val="2"/>
      <sz val="9"/>
      <vertAlign val="superscript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65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2" borderId="0" pivotButton="0" quotePrefix="0" xfId="0"/>
    <xf numFmtId="164" fontId="4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left" indent="1"/>
    </xf>
    <xf numFmtId="164" fontId="3" fillId="2" borderId="0" applyAlignment="1" pivotButton="0" quotePrefix="0" xfId="0">
      <alignment horizontal="right"/>
    </xf>
    <xf numFmtId="4" fontId="4" fillId="2" borderId="0" applyAlignment="1" pivotButton="0" quotePrefix="0" xfId="0">
      <alignment horizontal="right"/>
    </xf>
    <xf numFmtId="4" fontId="5" fillId="2" borderId="0" applyAlignment="1" pivotButton="0" quotePrefix="0" xfId="0">
      <alignment horizontal="right"/>
    </xf>
    <xf numFmtId="4" fontId="4" fillId="2" borderId="0" pivotButton="0" quotePrefix="0" xfId="0"/>
    <xf numFmtId="164" fontId="4" fillId="2" borderId="0" pivotButton="0" quotePrefix="0" xfId="0"/>
    <xf numFmtId="4" fontId="3" fillId="2" borderId="0" pivotButton="0" quotePrefix="0" xfId="0"/>
    <xf numFmtId="0" fontId="3" fillId="2" borderId="0" pivotButton="0" quotePrefix="0" xfId="0"/>
    <xf numFmtId="164" fontId="3" fillId="2" borderId="0" pivotButton="0" quotePrefix="0" xfId="0"/>
    <xf numFmtId="4" fontId="2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4" fontId="3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165" fontId="4" fillId="2" borderId="0" applyAlignment="1" pivotButton="0" quotePrefix="0" xfId="0">
      <alignment horizontal="right"/>
    </xf>
    <xf numFmtId="0" fontId="3" fillId="2" borderId="2" applyAlignment="1" pivotButton="0" quotePrefix="0" xfId="0">
      <alignment horizontal="left" indent="1"/>
    </xf>
    <xf numFmtId="164" fontId="3" fillId="2" borderId="2" applyAlignment="1" pivotButton="0" quotePrefix="0" xfId="0">
      <alignment horizontal="right"/>
    </xf>
    <xf numFmtId="165" fontId="3" fillId="2" borderId="2" applyAlignment="1" pivotButton="0" quotePrefix="0" xfId="0">
      <alignment horizontal="right"/>
    </xf>
    <xf numFmtId="4" fontId="3" fillId="2" borderId="2" pivotButton="0" quotePrefix="0" xfId="0"/>
    <xf numFmtId="0" fontId="6" fillId="0" borderId="0" applyAlignment="1" pivotButton="0" quotePrefix="0" xfId="0">
      <alignment vertical="center"/>
    </xf>
    <xf numFmtId="9" fontId="0" fillId="0" borderId="0" pivotButton="0" quotePrefix="0" xfId="1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1"/>
    <xf numFmtId="166" fontId="3" fillId="2" borderId="0" applyAlignment="1" pivotButton="0" quotePrefix="0" xfId="1">
      <alignment horizontal="left" indent="1"/>
    </xf>
    <xf numFmtId="0" fontId="4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3" fillId="2" borderId="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  <xf numFmtId="0" fontId="3" fillId="2" borderId="3" applyAlignment="1" pivotButton="0" quotePrefix="0" xfId="0">
      <alignment horizont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right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1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3" fillId="2" borderId="1" applyAlignment="1" pivotButton="0" quotePrefix="1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</cellXfs>
  <cellStyles count="3">
    <cellStyle name="Normal" xfId="0" builtinId="0"/>
    <cellStyle name="Porcentaje" xfId="1" builtinId="5"/>
    <cellStyle name="Normal 2" xfId="2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pivotCacheDefinition" Target="/xl/pivotCache/pivotCacheDefinition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l">
              <a:defRPr sz="960" b="0" i="0" strike="noStrike" kern="1200" spc="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rPr lang="es-AR" sz="1000" b="1"/>
              <a:t>Gastos,</a:t>
            </a:r>
            <a:r>
              <a:rPr lang="es-AR" sz="1000" b="1" baseline="0"/>
              <a:t xml:space="preserve"> ingresos y resultado fiscal de la Ciudad</a:t>
            </a:r>
            <a:r>
              <a:rPr lang="es-AR" sz="960" b="0" i="0" strike="noStrike" baseline="0">
                <effectLst/>
              </a:rPr>
              <a:t>billones de pesos constantes (septiembre 2025)</a:t>
            </a:r>
            <a:br>
              <a:rPr lang="es-AR" sz="960" b="0" i="0" strike="noStrike" baseline="0">
                <effectLst/>
              </a:rPr>
            </a:br>
            <a:endParaRPr lang="es-AR"/>
          </a:p>
        </rich>
      </tx>
      <layout>
        <manualLayout>
          <xMode val="edge"/>
          <yMode val="edge"/>
          <wMode val="factor"/>
          <hMode val="factor"/>
          <x val="0.0187115217608869"/>
          <y val="0.020477815699658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l">
            <a:defRPr sz="960" b="0" i="0" strike="noStrike" kern="1200" spc="0" baseline="0">
              <a:solidFill>
                <a:schemeClr val="tx1"/>
              </a:solidFill>
              <a:latin typeface="Inter" panose="02000503000000020004" pitchFamily="2" charset="0"/>
              <a:ea typeface="Inter" panose="02000503000000020004" pitchFamily="2" charset="0"/>
              <a:cs typeface="+mn-cs"/>
            </a:defRPr>
          </a:pPr>
          <a:r>
            <a:t/>
          </a:r>
          <a:endParaRPr lang="es-A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324821210069597"/>
          <y val="0.1294355702437535"/>
          <w val="0.9068828198963946"/>
          <h val="0.7536109311964827"/>
        </manualLayout>
      </layout>
      <barChart>
        <barDir val="col"/>
        <grouping val="clustered"/>
        <varyColors val="0"/>
        <ser>
          <idx val="2"/>
          <order val="0"/>
          <tx>
            <strRef>
              <f>constante!$A$79</f>
              <strCache>
                <ptCount val="1"/>
                <pt idx="0">
                  <v>Resultado primario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constante!$B$25:$AE$25</f>
              <numCache>
                <formatCode>#,##0.0</formatCode>
                <ptCount val="30"/>
                <pt idx="0">
                  <v>0.003779661905879851</v>
                </pt>
                <pt idx="1">
                  <v>-0.004422568079959472</v>
                </pt>
                <pt idx="2">
                  <v>-0.07306342344397905</v>
                </pt>
                <pt idx="3">
                  <v>0.6744405912724326</v>
                </pt>
                <pt idx="4">
                  <v>0.3638306596896488</v>
                </pt>
                <pt idx="5">
                  <v>0.2984268815489933</v>
                </pt>
                <pt idx="6">
                  <v>-0.3440082582855526</v>
                </pt>
                <pt idx="7">
                  <v>-0.04005481019501141</v>
                </pt>
                <pt idx="8">
                  <v>0.8209925339126871</v>
                </pt>
                <pt idx="9">
                  <v>1.21813601047918</v>
                </pt>
                <pt idx="10">
                  <v>0.5329068457446846</v>
                </pt>
                <pt idx="11">
                  <v>-0.4783922731309108</v>
                </pt>
                <pt idx="12">
                  <v>-0.1737173961129008</v>
                </pt>
                <pt idx="13">
                  <v>-0.3622120101774869</v>
                </pt>
                <pt idx="14">
                  <v>-0.3751048074507023</v>
                </pt>
                <pt idx="15">
                  <v>0.1988737818535813</v>
                </pt>
                <pt idx="16">
                  <v>-0.1578103498258734</v>
                </pt>
                <pt idx="17">
                  <v>-0.2942159785914742</v>
                </pt>
                <pt idx="18">
                  <v>-0.5244418769063518</v>
                </pt>
                <pt idx="19">
                  <v>-0.5228029017636928</v>
                </pt>
                <pt idx="20">
                  <v>-0.7143920894059761</v>
                </pt>
                <pt idx="21">
                  <v>-0.9499375048335965</v>
                </pt>
                <pt idx="22">
                  <v>-0.5233955679582231</v>
                </pt>
                <pt idx="23">
                  <v>1.622470793827835</v>
                </pt>
                <pt idx="24">
                  <v>0.4375458093563385</v>
                </pt>
                <pt idx="25">
                  <v>-0.1376357664762159</v>
                </pt>
                <pt idx="26">
                  <v>0.4469488470660356</v>
                </pt>
                <pt idx="27">
                  <v>1.431558485241789</v>
                </pt>
                <pt idx="28">
                  <v>0.8311578797136396</v>
                </pt>
                <pt idx="29">
                  <v>0.6263451391333039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0"/>
        <axId val="210434048"/>
        <axId val="181341568"/>
      </barChart>
      <barChart>
        <barDir val="col"/>
        <grouping val="clustered"/>
        <varyColors val="0"/>
        <ser>
          <idx val="3"/>
          <order val="1"/>
          <tx>
            <strRef>
              <f>constante!$A$40</f>
              <strCache>
                <ptCount val="1"/>
                <pt idx="0">
                  <v>Cambio de gestión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Inter" panose="02000503000000020004" pitchFamily="2" charset="0"/>
                    <a:ea typeface="Inter" panose="02000503000000020004" pitchFamily="2" charset="0"/>
                    <a:cs typeface="+mn-cs"/>
                  </a:defRPr>
                </a:pPr>
                <a:r>
                  <a:t/>
                </a:r>
                <a:endParaRPr lang="es-A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constante!$B$40:$AE$40</f>
              <numCache>
                <formatCode>General</formatCode>
                <ptCount val="30"/>
                <pt idx="12">
                  <v>150</v>
                </pt>
                <pt idx="20">
                  <v>150</v>
                </pt>
                <pt idx="28">
                  <v>150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0"/>
        <axId val="210434560"/>
        <axId val="181342144"/>
      </barChart>
      <lineChart>
        <grouping val="standard"/>
        <varyColors val="0"/>
        <ser>
          <idx val="4"/>
          <order val="2"/>
          <tx>
            <strRef>
              <f>constante!$A$80</f>
              <strCache>
                <ptCount val="1"/>
                <pt idx="0">
                  <v>Recursos totales</v>
                </pt>
              </strCache>
            </strRef>
          </tx>
          <spPr>
            <a:ln xmlns:a="http://schemas.openxmlformats.org/drawingml/2006/main"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constante!$B$23:$AE$23</f>
              <numCache>
                <formatCode>#,##0.0</formatCode>
                <ptCount val="30"/>
                <pt idx="0">
                  <v>4.920916990329564</v>
                </pt>
                <pt idx="1">
                  <v>5.019061949744768</v>
                </pt>
                <pt idx="2">
                  <v>5.16368153388556</v>
                </pt>
                <pt idx="3">
                  <v>5.7008957199359</v>
                </pt>
                <pt idx="4">
                  <v>5.937958525314273</v>
                </pt>
                <pt idx="5">
                  <v>6.026499301379268</v>
                </pt>
                <pt idx="6">
                  <v>5.566250034829149</v>
                </pt>
                <pt idx="7">
                  <v>3.958272273843022</v>
                </pt>
                <pt idx="8">
                  <v>5.211701942107327</v>
                </pt>
                <pt idx="9">
                  <v>6.310896832429279</v>
                </pt>
                <pt idx="10">
                  <v>6.733730591506908</v>
                </pt>
                <pt idx="11">
                  <v>7.560148414556186</v>
                </pt>
                <pt idx="12">
                  <v>7.837946705268637</v>
                </pt>
                <pt idx="13">
                  <v>8.654962375250946</v>
                </pt>
                <pt idx="14">
                  <v>8.641607660923404</v>
                </pt>
                <pt idx="15">
                  <v>9.0100825398504</v>
                </pt>
                <pt idx="16">
                  <v>9.596205073900324</v>
                </pt>
                <pt idx="17">
                  <v>10.03600549788955</v>
                </pt>
                <pt idx="18">
                  <v>10.76663694133825</v>
                </pt>
                <pt idx="19">
                  <v>10.43044677799066</v>
                </pt>
                <pt idx="20">
                  <v>10.06439623203366</v>
                </pt>
                <pt idx="21">
                  <v>12.14289270174089</v>
                </pt>
                <pt idx="22">
                  <v>13.75355402176044</v>
                </pt>
                <pt idx="23">
                  <v>14.05857775212909</v>
                </pt>
                <pt idx="24">
                  <v>12.09131036311568</v>
                </pt>
                <pt idx="25">
                  <v>10.73775509363957</v>
                </pt>
                <pt idx="26">
                  <v>10.97518308889536</v>
                </pt>
                <pt idx="27">
                  <v>10.97589034943824</v>
                </pt>
                <pt idx="28">
                  <v>8.882943225327629</v>
                </pt>
                <pt idx="29">
                  <v>11.61942065292836</v>
                </pt>
              </numCache>
            </numRef>
          </val>
          <smooth val="1"/>
        </ser>
        <ser>
          <idx val="5"/>
          <order val="3"/>
          <tx>
            <strRef>
              <f>constante!$A$81</f>
              <strCache>
                <ptCount val="1"/>
                <pt idx="0">
                  <v>Gasto primario</v>
                </pt>
              </strCache>
            </strRef>
          </tx>
          <spPr>
            <a:ln xmlns:a="http://schemas.openxmlformats.org/drawingml/2006/main" w="158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constante!$B$24:$AE$24</f>
              <numCache>
                <formatCode>#,##0.0</formatCode>
                <ptCount val="30"/>
                <pt idx="0">
                  <v>4.917137328423684</v>
                </pt>
                <pt idx="1">
                  <v>5.023484517824727</v>
                </pt>
                <pt idx="2">
                  <v>5.236744957329539</v>
                </pt>
                <pt idx="3">
                  <v>5.026455128663468</v>
                </pt>
                <pt idx="4">
                  <v>5.574127865624624</v>
                </pt>
                <pt idx="5">
                  <v>5.728072419830275</v>
                </pt>
                <pt idx="6">
                  <v>5.910258293114701</v>
                </pt>
                <pt idx="7">
                  <v>3.998327084038034</v>
                </pt>
                <pt idx="8">
                  <v>4.390709408194641</v>
                </pt>
                <pt idx="9">
                  <v>5.092760821950098</v>
                </pt>
                <pt idx="10">
                  <v>6.200823745762223</v>
                </pt>
                <pt idx="11">
                  <v>8.038540687687096</v>
                </pt>
                <pt idx="12">
                  <v>8.011664101381539</v>
                </pt>
                <pt idx="13">
                  <v>9.017174385428435</v>
                </pt>
                <pt idx="14">
                  <v>9.016712468374106</v>
                </pt>
                <pt idx="15">
                  <v>8.811208757996816</v>
                </pt>
                <pt idx="16">
                  <v>9.754015423726198</v>
                </pt>
                <pt idx="17">
                  <v>10.33022147648102</v>
                </pt>
                <pt idx="18">
                  <v>11.2910788182446</v>
                </pt>
                <pt idx="19">
                  <v>10.95324967975435</v>
                </pt>
                <pt idx="20">
                  <v>10.77878832143964</v>
                </pt>
                <pt idx="21">
                  <v>13.09283020657448</v>
                </pt>
                <pt idx="22">
                  <v>14.27694958971867</v>
                </pt>
                <pt idx="23">
                  <v>12.43610695830126</v>
                </pt>
                <pt idx="24">
                  <v>11.65376455375934</v>
                </pt>
                <pt idx="25">
                  <v>10.87539086011579</v>
                </pt>
                <pt idx="26">
                  <v>10.52823424182933</v>
                </pt>
                <pt idx="27">
                  <v>9.544331864196453</v>
                </pt>
                <pt idx="28">
                  <v>8.051785345613991</v>
                </pt>
                <pt idx="29">
                  <v>10.99307551379505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0434048"/>
        <axId val="181341568"/>
      </lineChart>
      <catAx>
        <axId val="2104340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181341568"/>
        <crosses val="autoZero"/>
        <auto val="1"/>
        <lblAlgn val="ctr"/>
        <lblOffset val="100"/>
        <noMultiLvlLbl val="0"/>
      </catAx>
      <valAx>
        <axId val="181341568"/>
        <scaling>
          <orientation val="minMax"/>
          <max val="15"/>
          <min val="-1"/>
        </scaling>
        <delete val="0"/>
        <axPos val="l"/>
        <numFmt formatCode="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210434048"/>
        <crosses val="autoZero"/>
        <crossBetween val="between"/>
        <majorUnit val="3"/>
      </valAx>
      <catAx>
        <axId val="21043456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81342144"/>
        <crosses val="autoZero"/>
        <auto val="1"/>
        <lblAlgn val="ctr"/>
        <lblOffset val="100"/>
        <noMultiLvlLbl val="0"/>
      </catAx>
      <valAx>
        <axId val="181342144"/>
        <scaling>
          <orientation val="minMax"/>
          <max val="150"/>
          <min val="-10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" b="0" i="0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210434560"/>
        <crosses val="max"/>
        <crossBetween val="between"/>
      </valAx>
    </plotArea>
    <legend>
      <legendPos val="b"/>
      <legendEntry>
        <idx val="1"/>
        <delete val="1"/>
      </legendEntry>
      <layout>
        <manualLayout>
          <xMode val="edge"/>
          <yMode val="edge"/>
          <wMode val="factor"/>
          <hMode val="factor"/>
          <x val="0.01422455956843034"/>
          <y val="0.9439042842282376"/>
          <w val="0.9608520337171875"/>
          <h val="0.0424438532538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/>
              </a:solidFill>
              <a:latin typeface="Inter" panose="02000503000000020004" pitchFamily="2" charset="0"/>
              <a:ea typeface="Inter" panose="02000503000000020004" pitchFamily="2" charset="0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constante!$A$42</f>
              <strCache>
                <ptCount val="1"/>
                <pt idx="0">
                  <v>Intereses de la deuda</v>
                </pt>
              </strCache>
            </strRef>
          </tx>
          <spPr>
            <a:solidFill xmlns:a="http://schemas.openxmlformats.org/drawingml/2006/main">
              <a:schemeClr val="bg1">
                <a:lumMod val="95000"/>
              </a:schemeClr>
            </a:solidFill>
            <a:ln xmlns:a="http://schemas.openxmlformats.org/drawingml/2006/main" w="19050">
              <a:noFill/>
              <a:prstDash val="solid"/>
            </a:ln>
          </spPr>
          <invertIfNegative val="0"/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constante!$B$42:$AE$42</f>
              <numCache>
                <formatCode>0.0%</formatCode>
                <ptCount val="30"/>
                <pt idx="0">
                  <v>0.02921329791419226</v>
                </pt>
                <pt idx="1">
                  <v>0.05121709439365568</v>
                </pt>
                <pt idx="2">
                  <v>0.04495302253222461</v>
                </pt>
                <pt idx="3">
                  <v>0.03246191560815995</v>
                </pt>
                <pt idx="4">
                  <v>0.03570657395266453</v>
                </pt>
                <pt idx="5">
                  <v>0.02756463042303973</v>
                </pt>
                <pt idx="6">
                  <v>0.02370589184555583</v>
                </pt>
                <pt idx="7">
                  <v>0.02000485833732058</v>
                </pt>
                <pt idx="8">
                  <v>0.0339588274166027</v>
                </pt>
                <pt idx="9">
                  <v>0.02461847144521594</v>
                </pt>
                <pt idx="10">
                  <v>0.02217429677279795</v>
                </pt>
                <pt idx="11">
                  <v>0.02325610627180287</v>
                </pt>
                <pt idx="12">
                  <v>0.01293700487318729</v>
                </pt>
                <pt idx="13">
                  <v>0.01055408043258248</v>
                </pt>
                <pt idx="14">
                  <v>0.01594210841317921</v>
                </pt>
                <pt idx="15">
                  <v>0.02014291031187344</v>
                </pt>
                <pt idx="16">
                  <v>0.0164078532796766</v>
                </pt>
                <pt idx="17">
                  <v>0.01418575655588368</v>
                </pt>
                <pt idx="18">
                  <v>0.0162763094208391</v>
                </pt>
                <pt idx="19">
                  <v>0.01992098068325323</v>
                </pt>
                <pt idx="20">
                  <v>0.02386764249870147</v>
                </pt>
                <pt idx="21">
                  <v>0.03473730767499074</v>
                </pt>
                <pt idx="22">
                  <v>0.03672607407941933</v>
                </pt>
                <pt idx="23">
                  <v>0.05187154130506221</v>
                </pt>
                <pt idx="24">
                  <v>0.09049938824493939</v>
                </pt>
                <pt idx="25">
                  <v>0.0813713632653949</v>
                </pt>
                <pt idx="26">
                  <v>0.07525642629175491</v>
                </pt>
                <pt idx="27">
                  <v>0.04335132331420141</v>
                </pt>
                <pt idx="28">
                  <v>0.02965214763134703</v>
                </pt>
                <pt idx="29">
                  <v>0.01466231150996448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axId val="211243008"/>
        <axId val="181344448"/>
      </barChart>
      <lineChart>
        <grouping val="standard"/>
        <varyColors val="0"/>
        <ser>
          <idx val="2"/>
          <order val="2"/>
          <tx>
            <strRef>
              <f>constante!$A$41</f>
              <strCache>
                <ptCount val="1"/>
                <pt idx="0">
                  <v>Resultado primario</v>
                </pt>
              </strCache>
            </strRef>
          </tx>
          <spPr>
            <a:ln xmlns:a="http://schemas.openxmlformats.org/drawingml/2006/main" w="12700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constante!$B$41:$AE$41</f>
              <numCache>
                <formatCode>0.0%</formatCode>
                <ptCount val="30"/>
                <pt idx="0">
                  <v>0.0007680808095945385</v>
                </pt>
                <pt idx="1">
                  <v>-0.0008811543121487813</v>
                </pt>
                <pt idx="2">
                  <v>-0.01414948287660962</v>
                </pt>
                <pt idx="3">
                  <v>0.1183043199534293</v>
                </pt>
                <pt idx="4">
                  <v>0.06127201093416068</v>
                </pt>
                <pt idx="5">
                  <v>0.04951910995504357</v>
                </pt>
                <pt idx="6">
                  <v>-0.06180251626014346</v>
                </pt>
                <pt idx="7">
                  <v>-0.01011926603930225</v>
                </pt>
                <pt idx="8">
                  <v>0.1575286812316674</v>
                </pt>
                <pt idx="9">
                  <v>0.1930210622711571</v>
                </pt>
                <pt idx="10">
                  <v>0.07913991189621206</v>
                </pt>
                <pt idx="11">
                  <v>-0.0632781589591313</v>
                </pt>
                <pt idx="12">
                  <v>-0.02216363578947643</v>
                </pt>
                <pt idx="13">
                  <v>-0.0418502119908967</v>
                </pt>
                <pt idx="14">
                  <v>-0.0434068314796208</v>
                </pt>
                <pt idx="15">
                  <v>0.02207235960092363</v>
                </pt>
                <pt idx="16">
                  <v>-0.01644507892553116</v>
                </pt>
                <pt idx="17">
                  <v>-0.02931604398317083</v>
                </pt>
                <pt idx="18">
                  <v>-0.0487099063304317</v>
                </pt>
                <pt idx="19">
                  <v>-0.05012277162152461</v>
                </pt>
                <pt idx="20">
                  <v>-0.07098211089227183</v>
                </pt>
                <pt idx="21">
                  <v>-0.0782299183700608</v>
                </pt>
                <pt idx="22">
                  <v>-0.0380552958987999</v>
                </pt>
                <pt idx="23">
                  <v>0.1154078899326869</v>
                </pt>
                <pt idx="24">
                  <v>0.03618679830525764</v>
                </pt>
                <pt idx="25">
                  <v>-0.0128179275161289</v>
                </pt>
                <pt idx="26">
                  <v>0.04072358915982516</v>
                </pt>
                <pt idx="27">
                  <v>0.1304275498082994</v>
                </pt>
                <pt idx="28">
                  <v>0.09356784779889034</v>
                </pt>
                <pt idx="29">
                  <v>0.05390502313688512</v>
                </pt>
              </numCache>
            </numRef>
          </val>
          <smooth val="0"/>
        </ser>
        <ser>
          <idx val="3"/>
          <order val="3"/>
          <tx>
            <strRef>
              <f>constante!$A$43</f>
              <strCache>
                <ptCount val="1"/>
                <pt idx="0">
                  <v>Resultado financiero</v>
                </pt>
              </strCache>
            </strRef>
          </tx>
          <spPr>
            <a:ln xmlns:a="http://schemas.openxmlformats.org/drawingml/2006/main" w="1270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constante!$B$43:$AE$43</f>
              <numCache>
                <formatCode>0.0%</formatCode>
                <ptCount val="30"/>
                <pt idx="0">
                  <v>-0.02844521710459765</v>
                </pt>
                <pt idx="1">
                  <v>-0.05209824870580446</v>
                </pt>
                <pt idx="2">
                  <v>-0.05910250540883424</v>
                </pt>
                <pt idx="3">
                  <v>0.08584240434526944</v>
                </pt>
                <pt idx="4">
                  <v>0.02556543698149618</v>
                </pt>
                <pt idx="5">
                  <v>0.02195447953200392</v>
                </pt>
                <pt idx="6">
                  <v>-0.08550840810569929</v>
                </pt>
                <pt idx="7">
                  <v>-0.03012412437662284</v>
                </pt>
                <pt idx="8">
                  <v>0.1235698538150647</v>
                </pt>
                <pt idx="9">
                  <v>0.1684025908259412</v>
                </pt>
                <pt idx="10">
                  <v>0.05696561512341412</v>
                </pt>
                <pt idx="11">
                  <v>-0.08653426523093413</v>
                </pt>
                <pt idx="12">
                  <v>-0.03510064066266369</v>
                </pt>
                <pt idx="13">
                  <v>-0.05240429242347915</v>
                </pt>
                <pt idx="14">
                  <v>-0.05934893989280007</v>
                </pt>
                <pt idx="15">
                  <v>0.001929449289050198</v>
                </pt>
                <pt idx="16">
                  <v>-0.03285293220520771</v>
                </pt>
                <pt idx="17">
                  <v>-0.04350180053905452</v>
                </pt>
                <pt idx="18">
                  <v>-0.06498621575127081</v>
                </pt>
                <pt idx="19">
                  <v>-0.07004375230477776</v>
                </pt>
                <pt idx="20">
                  <v>-0.09484975339097333</v>
                </pt>
                <pt idx="21">
                  <v>-0.1129672260450515</v>
                </pt>
                <pt idx="22">
                  <v>-0.07478136997821931</v>
                </pt>
                <pt idx="23">
                  <v>0.06353634862762469</v>
                </pt>
                <pt idx="24">
                  <v>-0.05431258993968182</v>
                </pt>
                <pt idx="25">
                  <v>-0.09418951735876195</v>
                </pt>
                <pt idx="26">
                  <v>-0.03453283713192969</v>
                </pt>
                <pt idx="27">
                  <v>0.08707622649409801</v>
                </pt>
                <pt idx="28">
                  <v>0.06391570016754335</v>
                </pt>
                <pt idx="29">
                  <v>0.03924271162692072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243008"/>
        <axId val="181344448"/>
      </lineChart>
      <catAx>
        <axId val="211243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181344448"/>
        <crosses val="autoZero"/>
        <auto val="1"/>
        <lblAlgn val="ctr"/>
        <lblOffset val="100"/>
        <noMultiLvlLbl val="0"/>
      </catAx>
      <valAx>
        <axId val="181344448"/>
        <scaling>
          <orientation val="minMax"/>
          <max val="0.2"/>
          <min val="-0.15"/>
        </scaling>
        <delete val="0"/>
        <axPos val="l"/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21124300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/>
              </a:solidFill>
              <a:latin typeface="Inter" panose="02000503000000020004" pitchFamily="2" charset="0"/>
              <a:ea typeface="Inter" panose="02000503000000020004" pitchFamily="2" charset="0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title>
    <plotArea>
      <layout/>
      <lineChart>
        <grouping val="standard"/>
        <varyColors val="0"/>
        <ser>
          <idx val="2"/>
          <order val="0"/>
          <tx>
            <strRef>
              <f>constante!$A$4</f>
              <strCache>
                <ptCount val="1"/>
                <pt idx="0">
                  <v>Ingresos no tributarios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constante!$B$4:$AE$4</f>
              <numCache>
                <formatCode>#,##0.0</formatCode>
                <ptCount val="30"/>
                <pt idx="0">
                  <v>0.2435946004902012</v>
                </pt>
                <pt idx="1">
                  <v>0.2550347592777016</v>
                </pt>
                <pt idx="2">
                  <v>0.3296622453752217</v>
                </pt>
                <pt idx="3">
                  <v>0.2891607593252002</v>
                </pt>
                <pt idx="4">
                  <v>0.3179619035786452</v>
                </pt>
                <pt idx="5">
                  <v>0.3690767346815597</v>
                </pt>
                <pt idx="6">
                  <v>0.3338391139502405</v>
                </pt>
                <pt idx="7">
                  <v>0.2469325448385997</v>
                </pt>
                <pt idx="8">
                  <v>0.2487728951475891</v>
                </pt>
                <pt idx="9">
                  <v>0.2764238504040084</v>
                </pt>
                <pt idx="10">
                  <v>0.2496256483003919</v>
                </pt>
                <pt idx="11">
                  <v>0.2990364300427881</v>
                </pt>
                <pt idx="12">
                  <v>0.3423392537354</v>
                </pt>
                <pt idx="13">
                  <v>0.3271034990734084</v>
                </pt>
                <pt idx="14">
                  <v>0.3496372731228559</v>
                </pt>
                <pt idx="15">
                  <v>0.3015220947047808</v>
                </pt>
                <pt idx="16">
                  <v>0.3539361903373884</v>
                </pt>
                <pt idx="17">
                  <v>0.3383754508934815</v>
                </pt>
                <pt idx="18">
                  <v>0.4079576551658253</v>
                </pt>
                <pt idx="19">
                  <v>0.3609823754451472</v>
                </pt>
                <pt idx="20">
                  <v>0.3387240643637366</v>
                </pt>
                <pt idx="21">
                  <v>0.3798621028296979</v>
                </pt>
                <pt idx="22">
                  <v>0.5585639551135629</v>
                </pt>
                <pt idx="23">
                  <v>0.4094366909342919</v>
                </pt>
                <pt idx="24">
                  <v>0.4594548573930434</v>
                </pt>
                <pt idx="25">
                  <v>0.202821283891143</v>
                </pt>
                <pt idx="26">
                  <v>0.2900189241316624</v>
                </pt>
                <pt idx="27">
                  <v>0.302446592144225</v>
                </pt>
                <pt idx="28">
                  <v>0.1700535309080292</v>
                </pt>
                <pt idx="29">
                  <v>0.320587967595485</v>
                </pt>
              </numCache>
            </numRef>
          </val>
          <smooth val="0"/>
        </ser>
        <ser>
          <idx val="3"/>
          <order val="1"/>
          <tx>
            <strRef>
              <f>constante!$A$5</f>
              <strCache>
                <ptCount val="1"/>
                <pt idx="0">
                  <v xml:space="preserve">Venta de bienes y servicios 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constante!$B$5:$AE$5</f>
              <numCache>
                <formatCode>#,##0.0</formatCode>
                <ptCount val="30"/>
                <pt idx="0">
                  <v>0.07695760387875415</v>
                </pt>
                <pt idx="1">
                  <v>0.09969205546910155</v>
                </pt>
                <pt idx="2">
                  <v>0.1480662658126455</v>
                </pt>
                <pt idx="3">
                  <v>0.08721532241131101</v>
                </pt>
                <pt idx="4">
                  <v>0.07081718277939436</v>
                </pt>
                <pt idx="5">
                  <v>0.06804594900423359</v>
                </pt>
                <pt idx="6">
                  <v>0.06699123775503808</v>
                </pt>
                <pt idx="7">
                  <v>0.04029264590483749</v>
                </pt>
                <pt idx="8">
                  <v>0.04941505696987229</v>
                </pt>
                <pt idx="9">
                  <v>0.04710878512714704</v>
                </pt>
                <pt idx="10">
                  <v>0.04248892443326485</v>
                </pt>
                <pt idx="11">
                  <v>0.04239504019550836</v>
                </pt>
                <pt idx="12">
                  <v>0.04077684334215717</v>
                </pt>
                <pt idx="13">
                  <v>0.03691132087680527</v>
                </pt>
                <pt idx="14">
                  <v>0.04093653316458231</v>
                </pt>
                <pt idx="15">
                  <v>0.05127006931950433</v>
                </pt>
                <pt idx="16">
                  <v>0.0546322193020028</v>
                </pt>
                <pt idx="17">
                  <v>0.06324248658853469</v>
                </pt>
                <pt idx="18">
                  <v>0.05176849430853027</v>
                </pt>
                <pt idx="19">
                  <v>0.06433132508873701</v>
                </pt>
                <pt idx="20">
                  <v>0.06299556365007318</v>
                </pt>
                <pt idx="21">
                  <v>0.06370167944852397</v>
                </pt>
                <pt idx="22">
                  <v>0.1057686522768593</v>
                </pt>
                <pt idx="23">
                  <v>1.239763806658024</v>
                </pt>
                <pt idx="24">
                  <v>0.1157688699624649</v>
                </pt>
                <pt idx="25">
                  <v>0.08764876834957498</v>
                </pt>
                <pt idx="26">
                  <v>0.1101710518613828</v>
                </pt>
                <pt idx="27">
                  <v>0.1169372010220329</v>
                </pt>
                <pt idx="28">
                  <v>0.09413115884588724</v>
                </pt>
                <pt idx="29">
                  <v>0.13029147276544</v>
                </pt>
              </numCache>
            </numRef>
          </val>
          <smooth val="0"/>
        </ser>
        <ser>
          <idx val="4"/>
          <order val="2"/>
          <tx>
            <strRef>
              <f>constante!$A$6</f>
              <strCache>
                <ptCount val="1"/>
                <pt idx="0">
                  <v>Rentas de la propiedad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constante!$B$6:$AE$6</f>
              <numCache>
                <formatCode>#,##0.0</formatCode>
                <ptCount val="3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0.0262861452556885</v>
                </pt>
                <pt idx="7">
                  <v>0</v>
                </pt>
                <pt idx="8">
                  <v>0.0192384865596907</v>
                </pt>
                <pt idx="9">
                  <v>0.01752668584320249</v>
                </pt>
                <pt idx="10">
                  <v>0.04578690686749409</v>
                </pt>
                <pt idx="11">
                  <v>0.07608475488886418</v>
                </pt>
                <pt idx="12">
                  <v>0.01792511855555434</v>
                </pt>
                <pt idx="13">
                  <v>0.02583277395608294</v>
                </pt>
                <pt idx="14">
                  <v>0.006227667012617749</v>
                </pt>
                <pt idx="15">
                  <v>0.03492224150219952</v>
                </pt>
                <pt idx="16">
                  <v>0.03963289166821157</v>
                </pt>
                <pt idx="17">
                  <v>0.03980372138326546</v>
                </pt>
                <pt idx="18">
                  <v>0.03157929780392011</v>
                </pt>
                <pt idx="19">
                  <v>0.04869163164170159</v>
                </pt>
                <pt idx="20">
                  <v>0.01441237913260297</v>
                </pt>
                <pt idx="21">
                  <v>0.07832110083067573</v>
                </pt>
                <pt idx="22">
                  <v>0.03073670002475595</v>
                </pt>
                <pt idx="23">
                  <v>0.06945493269585794</v>
                </pt>
                <pt idx="24">
                  <v>0.125835705362102</v>
                </pt>
                <pt idx="25">
                  <v>0.08761957317885953</v>
                </pt>
                <pt idx="26">
                  <v>0.02881265323369631</v>
                </pt>
                <pt idx="27">
                  <v>0.1856119123576336</v>
                </pt>
                <pt idx="28">
                  <v>0.5182242433792933</v>
                </pt>
                <pt idx="29">
                  <v>0.8822090540795853</v>
                </pt>
              </numCache>
            </numRef>
          </val>
          <smooth val="0"/>
        </ser>
        <ser>
          <idx val="5"/>
          <order val="3"/>
          <tx>
            <strRef>
              <f>constante!$A$7</f>
              <strCache>
                <ptCount val="1"/>
                <pt idx="0">
                  <v>Transferencias corrientes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constante!$B$7:$AE$7</f>
              <numCache>
                <formatCode>#,##0.0</formatCode>
                <ptCount val="30"/>
                <pt idx="0">
                  <v>0.05763523472088775</v>
                </pt>
                <pt idx="1">
                  <v>0.06781271055938885</v>
                </pt>
                <pt idx="2">
                  <v>0</v>
                </pt>
                <pt idx="3">
                  <v>0.3966472581379686</v>
                </pt>
                <pt idx="4">
                  <v>0.1113080359088355</v>
                </pt>
                <pt idx="5">
                  <v>0.1633477169218548</v>
                </pt>
                <pt idx="6">
                  <v>0.09916750374113045</v>
                </pt>
                <pt idx="7">
                  <v>0.07745524102453476</v>
                </pt>
                <pt idx="8">
                  <v>0.1871341307446758</v>
                </pt>
                <pt idx="9">
                  <v>0.8215453532082199</v>
                </pt>
                <pt idx="10">
                  <v>0.8578918337162034</v>
                </pt>
                <pt idx="11">
                  <v>0.152811133182386</v>
                </pt>
                <pt idx="12">
                  <v>0.1561686730620789</v>
                </pt>
                <pt idx="13">
                  <v>0.1107428431366777</v>
                </pt>
                <pt idx="14">
                  <v>0.1243494335738424</v>
                </pt>
                <pt idx="15">
                  <v>0.1199877376135846</v>
                </pt>
                <pt idx="16">
                  <v>0.1261231544268697</v>
                </pt>
                <pt idx="17">
                  <v>0.1825688696041565</v>
                </pt>
                <pt idx="18">
                  <v>0.1080974550523586</v>
                </pt>
                <pt idx="19">
                  <v>0.09551563801219716</v>
                </pt>
                <pt idx="20">
                  <v>0.08827705852077111</v>
                </pt>
                <pt idx="21">
                  <v>0.1438890714690695</v>
                </pt>
                <pt idx="22">
                  <v>0.3141244655398355</v>
                </pt>
                <pt idx="23">
                  <v>0.186066563796718</v>
                </pt>
                <pt idx="24">
                  <v>0.3254101492429837</v>
                </pt>
                <pt idx="25">
                  <v>0.1761466295807911</v>
                </pt>
                <pt idx="26">
                  <v>0.6901312205960798</v>
                </pt>
                <pt idx="27">
                  <v>0.5997160503352348</v>
                </pt>
                <pt idx="28">
                  <v>0.1474547659974868</v>
                </pt>
                <pt idx="29">
                  <v>0.7081051080090894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245568"/>
        <axId val="211075648"/>
      </lineChart>
      <lineChart>
        <grouping val="standard"/>
        <varyColors val="0"/>
        <ser>
          <idx val="6"/>
          <order val="4"/>
          <tx>
            <strRef>
              <f>constante!$A$3</f>
              <strCache>
                <ptCount val="1"/>
                <pt idx="0">
                  <v>Ingresos tributarios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constante!$B$3:$AE$3</f>
              <numCache>
                <formatCode>#,##0.0</formatCode>
                <ptCount val="30"/>
                <pt idx="0">
                  <v>4.539705821715017</v>
                </pt>
                <pt idx="1">
                  <v>4.588598656628646</v>
                </pt>
                <pt idx="2">
                  <v>4.684850995293696</v>
                </pt>
                <pt idx="3">
                  <v>4.927337290338778</v>
                </pt>
                <pt idx="4">
                  <v>5.43731393375236</v>
                </pt>
                <pt idx="5">
                  <v>5.425536573822841</v>
                </pt>
                <pt idx="6">
                  <v>5.039497118143219</v>
                </pt>
                <pt idx="7">
                  <v>3.52010710043174</v>
                </pt>
                <pt idx="8">
                  <v>4.690772268773872</v>
                </pt>
                <pt idx="9">
                  <v>5.139917054643033</v>
                </pt>
                <pt idx="10">
                  <v>5.460420029708693</v>
                </pt>
                <pt idx="11">
                  <v>6.917722005653023</v>
                </pt>
                <pt idx="12">
                  <v>7.240212053933678</v>
                </pt>
                <pt idx="13">
                  <v>8.115860519293367</v>
                </pt>
                <pt idx="14">
                  <v>8.019029778204784</v>
                </pt>
                <pt idx="15">
                  <v>8.243744869880281</v>
                </pt>
                <pt idx="16">
                  <v>8.846126374101653</v>
                </pt>
                <pt idx="17">
                  <v>9.275424896077784</v>
                </pt>
                <pt idx="18">
                  <v>10.06730358630937</v>
                </pt>
                <pt idx="19">
                  <v>9.755972750681579</v>
                </pt>
                <pt idx="20">
                  <v>9.466665007325128</v>
                </pt>
                <pt idx="21">
                  <v>11.39541233117453</v>
                </pt>
                <pt idx="22">
                  <v>12.50354007714932</v>
                </pt>
                <pt idx="23">
                  <v>11.8083286990478</v>
                </pt>
                <pt idx="24">
                  <v>10.59866416394412</v>
                </pt>
                <pt idx="25">
                  <v>10.03276470878818</v>
                </pt>
                <pt idx="26">
                  <v>9.794185433759433</v>
                </pt>
                <pt idx="27">
                  <v>9.604015672925938</v>
                </pt>
                <pt idx="28">
                  <v>7.839254224884318</v>
                </pt>
                <pt idx="29">
                  <v>9.57174262242685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246080"/>
        <axId val="211076224"/>
      </lineChart>
      <catAx>
        <axId val="2112455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075648"/>
        <crosses val="autoZero"/>
        <auto val="1"/>
        <lblAlgn val="ctr"/>
        <lblOffset val="100"/>
        <noMultiLvlLbl val="0"/>
      </catAx>
      <valAx>
        <axId val="211075648"/>
        <scaling>
          <orientation val="minMax"/>
        </scaling>
        <delete val="0"/>
        <axPos val="l"/>
        <numFmt formatCode="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245568"/>
        <crosses val="autoZero"/>
        <crossBetween val="between"/>
      </valAx>
      <catAx>
        <axId val="21124608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211076224"/>
        <crosses val="autoZero"/>
        <auto val="1"/>
        <lblAlgn val="ctr"/>
        <lblOffset val="100"/>
        <noMultiLvlLbl val="0"/>
      </catAx>
      <valAx>
        <axId val="211076224"/>
        <scaling>
          <orientation val="minMax"/>
        </scaling>
        <delete val="0"/>
        <axPos val="r"/>
        <numFmt formatCode="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24608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l">
              <a:defRPr sz="960" b="0" i="0" strike="noStrike" kern="1200" spc="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rPr lang="es-AR" sz="800" b="1"/>
              <a:t>Gastos,</a:t>
            </a:r>
            <a:r>
              <a:rPr lang="es-AR" sz="800" b="1" baseline="0"/>
              <a:t xml:space="preserve"> ingresos y resultado fiscal de la Ciudad</a:t>
            </a:r>
            <a:r>
              <a:rPr lang="es-AR" sz="700" b="0" i="0" strike="noStrike" baseline="0">
                <effectLst/>
              </a:rPr>
              <a:t>billones de pesos constantes (septiembre 2025)</a:t>
            </a:r>
            <a:br>
              <a:rPr lang="es-AR" sz="800" b="0" i="0" strike="noStrike" baseline="0">
                <effectLst/>
              </a:rPr>
            </a:br>
            <a:endParaRPr lang="es-AR" sz="700"/>
          </a:p>
        </rich>
      </tx>
      <layout>
        <manualLayout>
          <xMode val="edge"/>
          <yMode val="edge"/>
          <wMode val="factor"/>
          <hMode val="factor"/>
          <x val="0.0187115217608869"/>
          <y val="0.020477815699658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092688833111176"/>
          <y val="0.07795925019901545"/>
          <w val="0.9092040207554152"/>
          <h val="0.8320599852403667"/>
        </manualLayout>
      </layout>
      <barChart>
        <barDir val="col"/>
        <grouping val="clustered"/>
        <varyColors val="0"/>
        <ser>
          <idx val="0"/>
          <order val="0"/>
          <tx>
            <strRef>
              <f>constante!$A$23</f>
              <strCache>
                <ptCount val="1"/>
                <pt idx="0">
                  <v>6) Recursos totales (1+4)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19050" cap="rnd">
              <a:noFill/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700" b="1"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s-AR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constante!$B$1:$AE$1</f>
              <numCache>
                <formatCode>General</formatCode>
                <ptCount val="30"/>
                <pt idx="0">
                  <v>1995</v>
                </pt>
                <pt idx="1">
                  <v>1996</v>
                </pt>
                <pt idx="2">
                  <v>1997</v>
                </pt>
                <pt idx="3">
                  <v>1998</v>
                </pt>
                <pt idx="4">
                  <v>1999</v>
                </pt>
                <pt idx="5">
                  <v>2000</v>
                </pt>
                <pt idx="6">
                  <v>2001</v>
                </pt>
                <pt idx="7">
                  <v>2002</v>
                </pt>
                <pt idx="8">
                  <v>2003</v>
                </pt>
                <pt idx="9">
                  <v>2004</v>
                </pt>
                <pt idx="10">
                  <v>2005</v>
                </pt>
                <pt idx="11">
                  <v>2006</v>
                </pt>
                <pt idx="12">
                  <v>2007</v>
                </pt>
                <pt idx="13">
                  <v>2008</v>
                </pt>
                <pt idx="14">
                  <v>2009</v>
                </pt>
                <pt idx="15">
                  <v>2010</v>
                </pt>
                <pt idx="16">
                  <v>2011</v>
                </pt>
                <pt idx="17">
                  <v>2012</v>
                </pt>
                <pt idx="18">
                  <v>2013</v>
                </pt>
                <pt idx="19">
                  <v>2014</v>
                </pt>
                <pt idx="20">
                  <v>2015</v>
                </pt>
                <pt idx="21">
                  <v>2016</v>
                </pt>
                <pt idx="22">
                  <v>2017</v>
                </pt>
                <pt idx="23">
                  <v>2018</v>
                </pt>
                <pt idx="24">
                  <v>2019</v>
                </pt>
                <pt idx="25">
                  <v>2020</v>
                </pt>
                <pt idx="26">
                  <v>2021</v>
                </pt>
                <pt idx="27">
                  <v>2022</v>
                </pt>
                <pt idx="28">
                  <v>2023</v>
                </pt>
                <pt idx="29">
                  <v>2024</v>
                </pt>
              </numCache>
            </numRef>
          </cat>
          <val>
            <numRef>
              <f>constante!$B$78:$AE$78</f>
              <numCache>
                <formatCode>0.0</formatCode>
                <ptCount val="30"/>
                <pt idx="0">
                  <v>4.920916990329564e-06</v>
                </pt>
                <pt idx="1">
                  <v>5.019061949744768e-06</v>
                </pt>
                <pt idx="2">
                  <v>5.16368153388556e-06</v>
                </pt>
                <pt idx="3">
                  <v>5.7008957199359e-06</v>
                </pt>
                <pt idx="4">
                  <v>5.937958525314273e-06</v>
                </pt>
                <pt idx="5">
                  <v>6.026499301379269e-06</v>
                </pt>
                <pt idx="6">
                  <v>5.566250034829149e-06</v>
                </pt>
                <pt idx="7">
                  <v>3.958272273843023e-06</v>
                </pt>
                <pt idx="8">
                  <v>5.211701942107327e-06</v>
                </pt>
                <pt idx="9">
                  <v>6.310896832429279e-06</v>
                </pt>
                <pt idx="10">
                  <v>6.733730591506908e-06</v>
                </pt>
                <pt idx="11">
                  <v>7.560148414556186e-06</v>
                </pt>
                <pt idx="12">
                  <v>7.837946705268637e-06</v>
                </pt>
                <pt idx="13">
                  <v>8.654962375250946e-06</v>
                </pt>
                <pt idx="14">
                  <v>8.641607660923403e-06</v>
                </pt>
                <pt idx="15">
                  <v>9.010082539850399e-06</v>
                </pt>
                <pt idx="16">
                  <v>9.596205073900323e-06</v>
                </pt>
                <pt idx="17">
                  <v>1.003600549788955e-05</v>
                </pt>
                <pt idx="18">
                  <v>1.076663694133825e-05</v>
                </pt>
                <pt idx="19">
                  <v>1.043044677799066e-05</v>
                </pt>
                <pt idx="20">
                  <v>1.006439623203366e-05</v>
                </pt>
                <pt idx="21">
                  <v>1.214289270174089e-05</v>
                </pt>
                <pt idx="22">
                  <v>1.375355402176044e-05</v>
                </pt>
                <pt idx="23">
                  <v>1.405857775212909e-05</v>
                </pt>
                <pt idx="24">
                  <v>1.209131036311568e-05</v>
                </pt>
                <pt idx="25">
                  <v>1.073775509363957e-05</v>
                </pt>
                <pt idx="26">
                  <v>1.097518308889536e-05</v>
                </pt>
                <pt idx="27">
                  <v>1.097589034943824e-05</v>
                </pt>
                <pt idx="28">
                  <v>8.882943225327629e-06</v>
                </pt>
                <pt idx="29">
                  <v>1.161942065292836e-05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"/>
        <axId val="258558464"/>
        <axId val="210218944"/>
      </barChart>
      <catAx>
        <axId val="258558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210218944"/>
        <crosses val="autoZero"/>
        <auto val="1"/>
        <lblAlgn val="ctr"/>
        <lblOffset val="100"/>
        <noMultiLvlLbl val="0"/>
      </catAx>
      <valAx>
        <axId val="210218944"/>
        <scaling>
          <orientation val="minMax"/>
          <max val="14.2"/>
          <min val="0"/>
        </scaling>
        <delete val="0"/>
        <axPos val="l"/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chemeClr val="tx1"/>
                </a:solidFill>
                <a:latin typeface="Inter" panose="02000503000000020004" pitchFamily="2" charset="0"/>
                <a:ea typeface="Inter" panose="02000503000000020004" pitchFamily="2" charset="0"/>
                <a:cs typeface="+mn-cs"/>
              </a:defRPr>
            </a:pPr>
            <a:r>
              <a:t/>
            </a:r>
            <a:endParaRPr lang="es-AR"/>
          </a:p>
        </txPr>
        <crossAx val="258558464"/>
        <crosses val="autoZero"/>
        <crossBetween val="between"/>
        <majorUnit val="2.5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emisiones!$G$1</f>
              <strCache>
                <ptCount val="1"/>
                <pt idx="0">
                  <v>ARS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emisiones!$F$2:$F$16</f>
              <numCache>
                <formatCode>General</formatCode>
                <ptCount val="15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</numCache>
            </numRef>
          </cat>
          <val>
            <numRef>
              <f>emisiones!$G$2:$G$16</f>
              <numCache>
                <formatCode>#,##0</formatCode>
                <ptCount val="15"/>
                <pt idx="0">
                  <v>243655.8954630478</v>
                </pt>
                <pt idx="1">
                  <v>926.8954195378934</v>
                </pt>
                <pt idx="2">
                  <v>58130.68655856266</v>
                </pt>
                <pt idx="3">
                  <v>22968.0426872199</v>
                </pt>
                <pt idx="4">
                  <v>60669.63113820842</v>
                </pt>
                <pt idx="5">
                  <v>149789.4876060263</v>
                </pt>
                <pt idx="6">
                  <v>411926.0987814469</v>
                </pt>
                <pt idx="7">
                  <v>1668405.323257298</v>
                </pt>
                <pt idx="8">
                  <v>1442177.08425829</v>
                </pt>
                <pt idx="9">
                  <v>1582670.32117748</v>
                </pt>
                <pt idx="10">
                  <v>2140691.732581933</v>
                </pt>
                <pt idx="11">
                  <v>1613349.052805643</v>
                </pt>
                <pt idx="12">
                  <v>634133.0229707818</v>
                </pt>
                <pt idx="13">
                  <v>163913.5575</v>
                </pt>
                <pt idx="14">
                  <v>43534.724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764736"/>
        <axId val="211078528"/>
      </lineChart>
      <lineChart>
        <grouping val="standard"/>
        <varyColors val="0"/>
        <ser>
          <idx val="1"/>
          <order val="1"/>
          <tx>
            <strRef>
              <f>emisiones!$H$1</f>
              <strCache>
                <ptCount val="1"/>
                <pt idx="0">
                  <v>USD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emisiones!$F$2:$F$16</f>
              <numCache>
                <formatCode>General</formatCode>
                <ptCount val="15"/>
                <pt idx="0">
                  <v>2010</v>
                </pt>
                <pt idx="1">
                  <v>2011</v>
                </pt>
                <pt idx="2">
                  <v>2012</v>
                </pt>
                <pt idx="3">
                  <v>2013</v>
                </pt>
                <pt idx="4">
                  <v>2014</v>
                </pt>
                <pt idx="5">
                  <v>2015</v>
                </pt>
                <pt idx="6">
                  <v>2016</v>
                </pt>
                <pt idx="7">
                  <v>2017</v>
                </pt>
                <pt idx="8">
                  <v>2018</v>
                </pt>
                <pt idx="9">
                  <v>2019</v>
                </pt>
                <pt idx="10">
                  <v>2020</v>
                </pt>
                <pt idx="11">
                  <v>2021</v>
                </pt>
                <pt idx="12">
                  <v>2022</v>
                </pt>
                <pt idx="13">
                  <v>2023</v>
                </pt>
                <pt idx="14">
                  <v>2024</v>
                </pt>
              </numCache>
            </numRef>
          </cat>
          <val>
            <numRef>
              <f>emisiones!$H$2:$H$16</f>
              <numCache>
                <formatCode>#,##0</formatCode>
                <ptCount val="15"/>
                <pt idx="0">
                  <v>624.6375</v>
                </pt>
                <pt idx="1">
                  <v>617.4664</v>
                </pt>
                <pt idx="2">
                  <v>1133.573</v>
                </pt>
                <pt idx="3">
                  <v>1549.606</v>
                </pt>
                <pt idx="4">
                  <v>1850.554</v>
                </pt>
                <pt idx="5">
                  <v>1915.28</v>
                </pt>
                <pt idx="6">
                  <v>2204.8482</v>
                </pt>
                <pt idx="7">
                  <v>1608.5596</v>
                </pt>
                <pt idx="8">
                  <v>1466.7623</v>
                </pt>
                <pt idx="9">
                  <v>1253.3728</v>
                </pt>
                <pt idx="10">
                  <v>1071.4536</v>
                </pt>
                <pt idx="11">
                  <v>890</v>
                </pt>
                <pt idx="12">
                  <v>890</v>
                </pt>
                <pt idx="13">
                  <v>890</v>
                </pt>
                <pt idx="14">
                  <v>890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766272"/>
        <axId val="211079104"/>
      </lineChart>
      <catAx>
        <axId val="211764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078528"/>
        <crosses val="autoZero"/>
        <auto val="1"/>
        <lblAlgn val="ctr"/>
        <lblOffset val="100"/>
        <noMultiLvlLbl val="0"/>
      </catAx>
      <valAx>
        <axId val="211078528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764736"/>
        <crosses val="autoZero"/>
        <crossBetween val="between"/>
      </valAx>
      <catAx>
        <axId val="21176627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211079104"/>
        <crosses val="autoZero"/>
        <auto val="1"/>
        <lblAlgn val="ctr"/>
        <lblOffset val="100"/>
        <noMultiLvlLbl val="0"/>
      </catAx>
      <valAx>
        <axId val="211079104"/>
        <scaling>
          <orientation val="minMax"/>
        </scaling>
        <delete val="0"/>
        <axPos val="r"/>
        <numFmt formatCode="#,##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76627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query!$H$1</f>
              <strCache>
                <ptCount val="1"/>
                <pt idx="0">
                  <v>Total en ARS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query!$G$2:$G$30</f>
              <numCache>
                <formatCode>General</formatCod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numCache>
            </numRef>
          </cat>
          <val>
            <numRef>
              <f>query!$H$2:$H$30</f>
              <numCache>
                <formatCode>#,##0</formatCode>
                <ptCount val="29"/>
                <pt idx="0">
                  <v>3687684.684006766</v>
                </pt>
                <pt idx="1">
                  <v>3357510.157508492</v>
                </pt>
                <pt idx="2">
                  <v>2866663.785979396</v>
                </pt>
                <pt idx="3">
                  <v>2160044.859785452</v>
                </pt>
                <pt idx="4">
                  <v>3447262.06355643</v>
                </pt>
                <pt idx="5">
                  <v>4402029.18279944</v>
                </pt>
                <pt idx="6">
                  <v>5408841.27051269</v>
                </pt>
                <pt idx="7">
                  <v>3784582.441030242</v>
                </pt>
                <pt idx="8">
                  <v>4324100.971188163</v>
                </pt>
                <pt idx="9">
                  <v>4979982.662112253</v>
                </pt>
                <pt idx="10">
                  <v>4711255.993262692</v>
                </pt>
                <pt idx="11">
                  <v>3562524.138994472</v>
                </pt>
                <pt idx="12">
                  <v>4328710.791811357</v>
                </pt>
                <pt idx="13">
                  <v>4773287.030952014</v>
                </pt>
                <pt idx="14">
                  <v>4822505.781935609</v>
                </pt>
                <pt idx="15">
                  <v>3839160.603883924</v>
                </pt>
                <pt idx="16">
                  <v>2586135.478529303</v>
                </pt>
                <pt idx="17">
                  <v>2472046.253928526</v>
                </pt>
                <pt idx="18">
                  <v>5942694.692672776</v>
                </pt>
                <pt idx="19">
                  <v>7308863.204037613</v>
                </pt>
                <pt idx="20">
                  <v>9703196.760927917</v>
                </pt>
                <pt idx="21">
                  <v>10205761.95310484</v>
                </pt>
                <pt idx="22">
                  <v>10642557.51964529</v>
                </pt>
                <pt idx="23">
                  <v>10908598.70878958</v>
                </pt>
                <pt idx="24">
                  <v>11472843.02887036</v>
                </pt>
                <pt idx="25">
                  <v>5601362.718207443</v>
                </pt>
                <pt idx="26">
                  <v>4036883.504521415</v>
                </pt>
                <pt idx="27">
                  <v>4981927.352688</v>
                </pt>
                <pt idx="28">
                  <v>2762994.39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898880"/>
        <axId val="211812352"/>
      </lineChart>
      <catAx>
        <axId val="2118988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812352"/>
        <crosses val="autoZero"/>
        <auto val="1"/>
        <lblAlgn val="ctr"/>
        <lblOffset val="100"/>
        <noMultiLvlLbl val="0"/>
      </catAx>
      <valAx>
        <axId val="211812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8988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[CAIF+deuda.xlsx]query!TablaDinámica4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2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3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4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5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s-AR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query!$P$2:$P$4</f>
              <strCache>
                <ptCount val="1"/>
                <pt idx="0">
                  <v>Acuerdo OSPLAD - Total en ARS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query!$P$5:$P$34</f>
              <numCache>
                <formatCode>General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26124.90694399154</v>
                </pt>
                <pt idx="17">
                  <v>9311.119772420127</v>
                </pt>
                <pt idx="18">
                  <v>2088.333872517568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1"/>
          <order val="1"/>
          <tx>
            <strRef>
              <f>query!$R$2:$R$4</f>
              <strCache>
                <ptCount val="1"/>
                <pt idx="0">
                  <v>Deuda financiera  - Total en ARS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query!$R$5:$R$34</f>
              <numCache>
                <formatCode>General</formatCode>
                <ptCount val="29"/>
                <pt idx="0">
                  <v>749329.2433293125</v>
                </pt>
                <pt idx="1">
                  <v>340393.9836660465</v>
                </pt>
                <pt idx="2">
                  <v>181682.2148800563</v>
                </pt>
                <pt idx="3">
                  <v>75090.80941330623</v>
                </pt>
                <pt idx="4">
                  <v>21190.03665971692</v>
                </pt>
                <pt idx="5">
                  <v>119938.4348110055</v>
                </pt>
                <pt idx="6">
                  <v>13223.62661877026</v>
                </pt>
                <pt idx="7">
                  <v>11125.20234256677</v>
                </pt>
                <pt idx="8">
                  <v>10218.97456370964</v>
                </pt>
                <pt idx="9">
                  <v>7070.482603165488</v>
                </pt>
                <pt idx="10">
                  <v>5600.591645565233</v>
                </pt>
                <pt idx="11">
                  <v>3633.539770200069</v>
                </pt>
                <pt idx="12">
                  <v>2247.585174093069</v>
                </pt>
                <pt idx="13">
                  <v>834.5179419612623</v>
                </pt>
                <pt idx="14">
                  <v>166.5099639149746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66337.0827022765</v>
                </pt>
                <pt idx="23">
                  <v>41759.79355169401</v>
                </pt>
                <pt idx="24">
                  <v>39619.88075063231</v>
                </pt>
                <pt idx="25">
                  <v>37760.7566839207</v>
                </pt>
                <pt idx="26">
                  <v>34816.82819610037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2"/>
          <order val="2"/>
          <tx>
            <strRef>
              <f>query!$T$2:$T$4</f>
              <strCache>
                <ptCount val="1"/>
                <pt idx="0">
                  <v>Deuda previsional - Total en ARS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query!$T$5:$T$34</f>
              <numCache>
                <formatCode>General</formatCode>
                <ptCount val="29"/>
                <pt idx="0">
                  <v>726974.7325426287</v>
                </pt>
                <pt idx="1">
                  <v>633214.10672242</v>
                </pt>
                <pt idx="2">
                  <v>592982.9083176444</v>
                </pt>
                <pt idx="3">
                  <v>307217.3683298958</v>
                </pt>
                <pt idx="4">
                  <v>742234.3543377888</v>
                </pt>
                <pt idx="5">
                  <v>1021331.253292522</v>
                </pt>
                <pt idx="6">
                  <v>735481.3065891287</v>
                </pt>
                <pt idx="7">
                  <v>380155.5239588493</v>
                </pt>
                <pt idx="8">
                  <v>457008.2978599656</v>
                </pt>
                <pt idx="9">
                  <v>868300.0135586153</v>
                </pt>
                <pt idx="10">
                  <v>948723.0969691311</v>
                </pt>
                <pt idx="11">
                  <v>645363.6405807855</v>
                </pt>
                <pt idx="12">
                  <v>1098285.353174278</v>
                </pt>
                <pt idx="13">
                  <v>1091764.879026373</v>
                </pt>
                <pt idx="14">
                  <v>868076.5509882281</v>
                </pt>
                <pt idx="15">
                  <v>738471.1269946736</v>
                </pt>
                <pt idx="16">
                  <v>1001997.272240882</v>
                </pt>
                <pt idx="17">
                  <v>988371.1767975899</v>
                </pt>
                <pt idx="18">
                  <v>1065405.864005014</v>
                </pt>
                <pt idx="19">
                  <v>988826.1238151309</v>
                </pt>
                <pt idx="20">
                  <v>1688914.489347789</v>
                </pt>
                <pt idx="21">
                  <v>1501465.614342182</v>
                </pt>
                <pt idx="22">
                  <v>1382724.033248828</v>
                </pt>
                <pt idx="23">
                  <v>1181057.675319632</v>
                </pt>
                <pt idx="24">
                  <v>1222626.094142279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3"/>
          <order val="3"/>
          <tx>
            <strRef>
              <f>query!$V$2:$V$4</f>
              <strCache>
                <ptCount val="1"/>
                <pt idx="0">
                  <v>Garantías y/o avales - Total en ARS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query!$V$5:$V$34</f>
              <numCache>
                <formatCode>General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4546.545341024542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172905.192900038</v>
                </pt>
                <pt idx="20">
                  <v>158311.668810058</v>
                </pt>
                <pt idx="21">
                  <v>242288.6975842899</v>
                </pt>
                <pt idx="22">
                  <v>333601.8886502768</v>
                </pt>
                <pt idx="23">
                  <v>316415.0758968173</v>
                </pt>
                <pt idx="24">
                  <v>299922.0503808004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4"/>
          <order val="4"/>
          <tx>
            <strRef>
              <f>query!$X$2:$X$4</f>
              <strCache>
                <ptCount val="1"/>
                <pt idx="0">
                  <v>Letras del Tesoro Ley 3395 art. 2 - Total en ARS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query!$X$5:$X$34</f>
              <numCache>
                <formatCode>General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141140.3459826975</v>
                </pt>
                <pt idx="14">
                  <v>200799.1572184426</v>
                </pt>
                <pt idx="15">
                  <v>114227.0601437332</v>
                </pt>
                <pt idx="16">
                  <v>0</v>
                </pt>
                <pt idx="17">
                  <v>0</v>
                </pt>
                <pt idx="18">
                  <v>58640.51078308882</v>
                </pt>
                <pt idx="19">
                  <v>246958.9268670256</v>
                </pt>
                <pt idx="20">
                  <v>161929.9139580363</v>
                </pt>
                <pt idx="21">
                  <v>240613.8305278225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5"/>
          <order val="5"/>
          <tx>
            <strRef>
              <f>query!$Z$2:$Z$4</f>
              <strCache>
                <ptCount val="1"/>
                <pt idx="0">
                  <v>Organismos internacionales de crédito - Total en ARS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query!$Z$5:$Z$34</f>
              <numCache>
                <formatCode>General</formatCode>
                <ptCount val="29"/>
                <pt idx="0">
                  <v>35042.20609804484</v>
                </pt>
                <pt idx="1">
                  <v>28905.63682613044</v>
                </pt>
                <pt idx="2">
                  <v>26321.93007817879</v>
                </pt>
                <pt idx="3">
                  <v>36189.80997282264</v>
                </pt>
                <pt idx="4">
                  <v>69385.47847591592</v>
                </pt>
                <pt idx="5">
                  <v>85917.43647519145</v>
                </pt>
                <pt idx="6">
                  <v>350250.0852170016</v>
                </pt>
                <pt idx="7">
                  <v>336268.0407004686</v>
                </pt>
                <pt idx="8">
                  <v>335872.7446882343</v>
                </pt>
                <pt idx="9">
                  <v>318674.7152128265</v>
                </pt>
                <pt idx="10">
                  <v>378102.8745912563</v>
                </pt>
                <pt idx="11">
                  <v>418418.5544043347</v>
                </pt>
                <pt idx="12">
                  <v>378389.3756788864</v>
                </pt>
                <pt idx="13">
                  <v>363929.6246170064</v>
                </pt>
                <pt idx="14">
                  <v>336666.713764525</v>
                </pt>
                <pt idx="15">
                  <v>314456.6622151826</v>
                </pt>
                <pt idx="16">
                  <v>0</v>
                </pt>
                <pt idx="17">
                  <v>0</v>
                </pt>
                <pt idx="18">
                  <v>229166.3822678277</v>
                </pt>
                <pt idx="19">
                  <v>261234.6365057588</v>
                </pt>
                <pt idx="20">
                  <v>299922.562775732</v>
                </pt>
                <pt idx="21">
                  <v>389239.9895760572</v>
                </pt>
                <pt idx="22">
                  <v>628094.7393664198</v>
                </pt>
                <pt idx="23">
                  <v>1052144.298270091</v>
                </pt>
                <pt idx="24">
                  <v>1205132.15351424</v>
                </pt>
                <pt idx="25">
                  <v>862666.2711882419</v>
                </pt>
                <pt idx="26">
                  <v>788126.4231733031</v>
                </pt>
                <pt idx="27">
                  <v>1171847.6352</v>
                </pt>
                <pt idx="28">
                  <v>646170.1</v>
                </pt>
              </numCache>
            </numRef>
          </val>
        </ser>
        <ser>
          <idx val="6"/>
          <order val="6"/>
          <tx>
            <strRef>
              <f>query!$AB$2:$AB$4</f>
              <strCache>
                <ptCount val="1"/>
                <pt idx="0">
                  <v>Préstamo ANSES - Ley 5603 - Total en ARS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query!$AB$5:$AB$34</f>
              <numCache>
                <formatCode>General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150595.0504424481</v>
                </pt>
                <pt idx="21">
                  <v>201767.3750537859</v>
                </pt>
                <pt idx="22">
                  <v>203794.2478926285</v>
                </pt>
                <pt idx="23">
                  <v>210858.5330036431</v>
                </pt>
                <pt idx="24">
                  <v>158335.962131994</v>
                </pt>
                <pt idx="25">
                  <v>100517.7635213313</v>
                </pt>
                <pt idx="26">
                  <v>18542.56324026872</v>
                </pt>
                <pt idx="27">
                  <v>0</v>
                </pt>
                <pt idx="28">
                  <v>0</v>
                </pt>
              </numCache>
            </numRef>
          </val>
        </ser>
        <ser>
          <idx val="7"/>
          <order val="7"/>
          <tx>
            <strRef>
              <f>query!$AD$2:$AD$4</f>
              <strCache>
                <ptCount val="1"/>
                <pt idx="0">
                  <v>Proveedores y Contratistas - Total en ARS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query!$AD$5:$AD$34</f>
              <numCache>
                <formatCode>General</formatCode>
                <ptCount val="29"/>
                <pt idx="0">
                  <v>1511346.181969986</v>
                </pt>
                <pt idx="1">
                  <v>1749543.778939905</v>
                </pt>
                <pt idx="2">
                  <v>1548737.36146133</v>
                </pt>
                <pt idx="3">
                  <v>1257595.896555586</v>
                </pt>
                <pt idx="4">
                  <v>1844131.604623271</v>
                </pt>
                <pt idx="5">
                  <v>2242191.064392386</v>
                </pt>
                <pt idx="6">
                  <v>3237356.524181436</v>
                </pt>
                <pt idx="7">
                  <v>2306280.791970551</v>
                </pt>
                <pt idx="8">
                  <v>2702117.997193399</v>
                </pt>
                <pt idx="9">
                  <v>2855777.369413249</v>
                </pt>
                <pt idx="10">
                  <v>2501320.009269023</v>
                </pt>
                <pt idx="11">
                  <v>1825265.452206256</v>
                </pt>
                <pt idx="12">
                  <v>2050563.464875289</v>
                </pt>
                <pt idx="13">
                  <v>2299298.601117047</v>
                </pt>
                <pt idx="14">
                  <v>2535060.970368313</v>
                </pt>
                <pt idx="15">
                  <v>1969907.122159899</v>
                </pt>
                <pt idx="16">
                  <v>1083715.641429453</v>
                </pt>
                <pt idx="17">
                  <v>1022546.842875306</v>
                </pt>
                <pt idx="18">
                  <v>3511409.062847923</v>
                </pt>
                <pt idx="19">
                  <v>4317631.950870745</v>
                </pt>
                <pt idx="20">
                  <v>5491246.570519604</v>
                </pt>
                <pt idx="21">
                  <v>5787988.005252968</v>
                </pt>
                <pt idx="22">
                  <v>6107479.526525505</v>
                </pt>
                <pt idx="23">
                  <v>6138344.310462363</v>
                </pt>
                <pt idx="24">
                  <v>6478333.55487543</v>
                </pt>
                <pt idx="25">
                  <v>3590336.125169985</v>
                </pt>
                <pt idx="26">
                  <v>2467435.09073575</v>
                </pt>
                <pt idx="27">
                  <v>2911699.3752</v>
                </pt>
                <pt idx="28">
                  <v>1618579.4</v>
                </pt>
              </numCache>
            </numRef>
          </val>
        </ser>
        <ser>
          <idx val="8"/>
          <order val="8"/>
          <tx>
            <strRef>
              <f>query!$AF$2:$AF$4</f>
              <strCache>
                <ptCount val="1"/>
                <pt idx="0">
                  <v>Títulos públicos - Total en ARS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query!$O$5:$O$34</f>
              <strCache>
                <ptCount val="29"/>
                <pt idx="0">
                  <v>1996</v>
                </pt>
                <pt idx="1">
                  <v>1997</v>
                </pt>
                <pt idx="2">
                  <v>1998</v>
                </pt>
                <pt idx="3">
                  <v>1999</v>
                </pt>
                <pt idx="4">
                  <v>2000</v>
                </pt>
                <pt idx="5">
                  <v>2001</v>
                </pt>
                <pt idx="6">
                  <v>2002</v>
                </pt>
                <pt idx="7">
                  <v>2003</v>
                </pt>
                <pt idx="8">
                  <v>2004</v>
                </pt>
                <pt idx="9">
                  <v>2005</v>
                </pt>
                <pt idx="10">
                  <v>2006</v>
                </pt>
                <pt idx="11">
                  <v>2007</v>
                </pt>
                <pt idx="12">
                  <v>2008</v>
                </pt>
                <pt idx="13">
                  <v>2009</v>
                </pt>
                <pt idx="14">
                  <v>2010</v>
                </pt>
                <pt idx="15">
                  <v>2011</v>
                </pt>
                <pt idx="16">
                  <v>2012</v>
                </pt>
                <pt idx="17">
                  <v>2013</v>
                </pt>
                <pt idx="18">
                  <v>2014</v>
                </pt>
                <pt idx="19">
                  <v>2015</v>
                </pt>
                <pt idx="20">
                  <v>2016</v>
                </pt>
                <pt idx="21">
                  <v>2017</v>
                </pt>
                <pt idx="22">
                  <v>2018</v>
                </pt>
                <pt idx="23">
                  <v>2019</v>
                </pt>
                <pt idx="24">
                  <v>2020</v>
                </pt>
                <pt idx="25">
                  <v>2021</v>
                </pt>
                <pt idx="26">
                  <v>2022</v>
                </pt>
                <pt idx="27">
                  <v>2023</v>
                </pt>
                <pt idx="28">
                  <v>2024</v>
                </pt>
              </strCache>
            </strRef>
          </cat>
          <val>
            <numRef>
              <f>query!$AF$5:$AF$34</f>
              <numCache>
                <formatCode>General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94434.68932302203</v>
                </pt>
                <pt idx="4">
                  <v>148683.168162677</v>
                </pt>
                <pt idx="5">
                  <v>138842.4526677817</v>
                </pt>
                <pt idx="6">
                  <v>97164.90863357279</v>
                </pt>
                <pt idx="7">
                  <v>68287.19597038589</v>
                </pt>
                <pt idx="8">
                  <v>39127.04404564523</v>
                </pt>
                <pt idx="9">
                  <v>32130.42094349886</v>
                </pt>
                <pt idx="10">
                  <v>27938.66790427923</v>
                </pt>
                <pt idx="11">
                  <v>22874.02097155622</v>
                </pt>
                <pt idx="12">
                  <v>18637.82094282881</v>
                </pt>
                <pt idx="13">
                  <v>15562.38455427198</v>
                </pt>
                <pt idx="14">
                  <v>12103.68944707529</v>
                </pt>
                <pt idx="15">
                  <v>9790.982489727807</v>
                </pt>
                <pt idx="16">
                  <v>7945.358508052595</v>
                </pt>
                <pt idx="17">
                  <v>6038.281807574633</v>
                </pt>
                <pt idx="18">
                  <v>4351.069725903294</v>
                </pt>
                <pt idx="19">
                  <v>3314.647760656927</v>
                </pt>
                <pt idx="20">
                  <v>2519.712120035861</v>
                </pt>
                <pt idx="21">
                  <v>2015.137748830656</v>
                </pt>
                <pt idx="22">
                  <v>1376.28460200731</v>
                </pt>
                <pt idx="23">
                  <v>894.6649626267792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10056704"/>
        <axId val="211814080"/>
      </barChart>
      <catAx>
        <axId val="210056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1814080"/>
        <crosses val="autoZero"/>
        <auto val="1"/>
        <lblAlgn val="ctr"/>
        <lblOffset val="100"/>
        <noMultiLvlLbl val="0"/>
      </catAx>
      <valAx>
        <axId val="2118140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AR"/>
          </a:p>
        </txPr>
        <crossAx val="2100567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A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twoCellAnchor>
    <from>
      <col>0</col>
      <colOff>121920</colOff>
      <row>44</row>
      <rowOff>95250</rowOff>
    </from>
    <to>
      <col>5</col>
      <colOff>106680</colOff>
      <row>75</row>
      <rowOff>30480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312420</colOff>
      <row>44</row>
      <rowOff>118110</rowOff>
    </from>
    <to>
      <col>13</col>
      <colOff>754380</colOff>
      <row>75</row>
      <rowOff>22860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21</col>
      <colOff>331893</colOff>
      <row>25</row>
      <rowOff>121920</rowOff>
    </from>
    <to>
      <col>33</col>
      <colOff>179493</colOff>
      <row>63</row>
      <rowOff>6773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137584</colOff>
      <row>81</row>
      <rowOff>1</rowOff>
    </from>
    <to>
      <col>5</col>
      <colOff>129904</colOff>
      <row>111</row>
      <rowOff>112123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8</col>
      <colOff>563880</colOff>
      <row>0</row>
      <rowOff>110490</rowOff>
    </from>
    <to>
      <col>16</col>
      <colOff>182880</colOff>
      <row>29</row>
      <rowOff>15240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777240</colOff>
      <row>31</row>
      <rowOff>26670</rowOff>
    </from>
    <to>
      <col>12</col>
      <colOff>601980</colOff>
      <row>54</row>
      <rowOff>60960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82973</colOff>
      <row>36</row>
      <rowOff>164678</rowOff>
    </from>
    <to>
      <col>23</col>
      <colOff>812799</colOff>
      <row>69</row>
      <rowOff>42334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adeo bessega" refreshedDate="45885.97197615741" createdVersion="8" refreshedVersion="8" minRefreshableVersion="3" recordCount="945" r:id="rId1">
  <cacheSource type="worksheet">
    <worksheetSource name="Tabla3_1"/>
  </cacheSource>
  <cacheFields count="5">
    <cacheField name="añpo" uniqueList="1" numFmtId="0" sqlType="0" hierarchy="0" level="0" databaseField="1">
      <sharedItems count="29" containsInteger="1" containsNumber="1" containsSemiMixedTypes="0" containsString="0" minValue="1996" maxValue="2024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eda" uniqueList="1" numFmtId="0" sqlType="0" hierarchy="0" level="0" databaseField="1">
      <sharedItems count="6">
        <s v="Total en ARS"/>
        <s v="pesos"/>
        <s v="dólares"/>
        <s v="euros"/>
        <s v="  euros"/>
        <s v="UVAs"/>
      </sharedItems>
    </cacheField>
    <cacheField name="Atributo" uniqueList="1" numFmtId="0" sqlType="0" hierarchy="0" level="0" databaseField="1">
      <sharedItems count="9">
        <s v="Proveedores y Contratistas"/>
        <s v="Deuda previsional"/>
        <s v="Títulos públicos"/>
        <s v="Letras del Tesoro Ley 3395 art. 2"/>
        <s v="Deuda financiera "/>
        <s v="Organismos internacionales de crédito"/>
        <s v="Garantías y/o avales"/>
        <s v="Acuerdo OSPLAD"/>
        <s v="Préstamo ANSES - Ley 5603"/>
      </sharedItems>
    </cacheField>
    <cacheField name="Valor" uniqueList="1" numFmtId="0" sqlType="0" hierarchy="0" level="0" databaseField="1">
      <sharedItems count="0" containsBlank="1" containsNumber="1" containsString="0" minValue="0" maxValue="1618579.4"/>
    </cacheField>
    <cacheField name="Constante" uniqueList="1" numFmtId="0" sqlType="0" hierarchy="0" level="0" databaseField="1">
      <sharedItems count="0" containsNumber="1" containsSemiMixedTypes="0" containsString="0" minValue="0" maxValue="6478333.55487543"/>
    </cacheField>
  </cacheFields>
</pivotCacheDefinition>
</file>

<file path=xl/pivotCache/pivotCacheRecords1.xml><?xml version="1.0" encoding="utf-8"?>
<pivotCacheRecords xmlns="http://schemas.openxmlformats.org/spreadsheetml/2006/main" count="945">
  <r>
    <x v="0"/>
    <x v="0"/>
    <x v="0"/>
    <n v="1000.6"/>
    <n v="1511346.181969986"/>
  </r>
  <r>
    <x v="0"/>
    <x v="0"/>
    <x v="1"/>
    <n v="481.3"/>
    <n v="726974.7325426287"/>
  </r>
  <r>
    <x v="0"/>
    <x v="0"/>
    <x v="2"/>
    <m/>
    <n v="0"/>
  </r>
  <r>
    <x v="0"/>
    <x v="0"/>
    <x v="3"/>
    <m/>
    <n v="0"/>
  </r>
  <r>
    <x v="0"/>
    <x v="0"/>
    <x v="4"/>
    <n v="496.1"/>
    <n v="749329.2433293125"/>
  </r>
  <r>
    <x v="0"/>
    <x v="0"/>
    <x v="5"/>
    <n v="23.2"/>
    <n v="35042.20609804484"/>
  </r>
  <r>
    <x v="0"/>
    <x v="0"/>
    <x v="6"/>
    <m/>
    <n v="0"/>
  </r>
  <r>
    <x v="0"/>
    <x v="0"/>
    <x v="7"/>
    <m/>
    <n v="0"/>
  </r>
  <r>
    <x v="0"/>
    <x v="0"/>
    <x v="8"/>
    <m/>
    <n v="0"/>
  </r>
  <r>
    <x v="1"/>
    <x v="0"/>
    <x v="0"/>
    <n v="1162.1"/>
    <n v="1749543.778939905"/>
  </r>
  <r>
    <x v="1"/>
    <x v="0"/>
    <x v="1"/>
    <n v="420.6"/>
    <n v="633214.10672242"/>
  </r>
  <r>
    <x v="1"/>
    <x v="0"/>
    <x v="2"/>
    <m/>
    <n v="0"/>
  </r>
  <r>
    <x v="1"/>
    <x v="0"/>
    <x v="3"/>
    <m/>
    <n v="0"/>
  </r>
  <r>
    <x v="1"/>
    <x v="0"/>
    <x v="4"/>
    <n v="226.1"/>
    <n v="340393.9836660465"/>
  </r>
  <r>
    <x v="1"/>
    <x v="0"/>
    <x v="5"/>
    <n v="19.2"/>
    <n v="28905.63682613044"/>
  </r>
  <r>
    <x v="1"/>
    <x v="0"/>
    <x v="6"/>
    <m/>
    <n v="0"/>
  </r>
  <r>
    <x v="1"/>
    <x v="0"/>
    <x v="7"/>
    <m/>
    <n v="0"/>
  </r>
  <r>
    <x v="1"/>
    <x v="0"/>
    <x v="8"/>
    <m/>
    <n v="0"/>
  </r>
  <r>
    <x v="2"/>
    <x v="0"/>
    <x v="0"/>
    <n v="1035.55390812"/>
    <n v="1548737.36146133"/>
  </r>
  <r>
    <x v="2"/>
    <x v="0"/>
    <x v="1"/>
    <n v="396.49444989"/>
    <n v="592982.9083176444"/>
  </r>
  <r>
    <x v="2"/>
    <x v="0"/>
    <x v="2"/>
    <m/>
    <n v="0"/>
  </r>
  <r>
    <x v="2"/>
    <x v="0"/>
    <x v="3"/>
    <m/>
    <n v="0"/>
  </r>
  <r>
    <x v="2"/>
    <x v="0"/>
    <x v="4"/>
    <n v="121.48071864"/>
    <n v="181682.2148800563"/>
  </r>
  <r>
    <x v="2"/>
    <x v="0"/>
    <x v="5"/>
    <n v="17.6"/>
    <n v="26321.93007817879"/>
  </r>
  <r>
    <x v="2"/>
    <x v="0"/>
    <x v="6"/>
    <m/>
    <n v="0"/>
  </r>
  <r>
    <x v="2"/>
    <x v="0"/>
    <x v="7"/>
    <m/>
    <n v="0"/>
  </r>
  <r>
    <x v="2"/>
    <x v="0"/>
    <x v="8"/>
    <m/>
    <n v="0"/>
  </r>
  <r>
    <x v="3"/>
    <x v="0"/>
    <x v="0"/>
    <n v="825.6599999999999"/>
    <n v="1257595.896555586"/>
  </r>
  <r>
    <x v="3"/>
    <x v="0"/>
    <x v="1"/>
    <n v="201.7"/>
    <n v="307217.3683298958"/>
  </r>
  <r>
    <x v="3"/>
    <x v="0"/>
    <x v="2"/>
    <n v="62"/>
    <n v="94434.68932302203"/>
  </r>
  <r>
    <x v="3"/>
    <x v="0"/>
    <x v="3"/>
    <m/>
    <n v="0"/>
  </r>
  <r>
    <x v="3"/>
    <x v="0"/>
    <x v="4"/>
    <n v="49.3"/>
    <n v="75090.80941330623"/>
  </r>
  <r>
    <x v="3"/>
    <x v="0"/>
    <x v="5"/>
    <n v="23.76"/>
    <n v="36189.80997282264"/>
  </r>
  <r>
    <x v="3"/>
    <x v="0"/>
    <x v="6"/>
    <m/>
    <n v="0"/>
  </r>
  <r>
    <x v="3"/>
    <x v="0"/>
    <x v="7"/>
    <m/>
    <n v="0"/>
  </r>
  <r>
    <x v="3"/>
    <x v="0"/>
    <x v="8"/>
    <m/>
    <n v="0"/>
  </r>
  <r>
    <x v="4"/>
    <x v="0"/>
    <x v="0"/>
    <n v="1201.86"/>
    <n v="1844131.604623271"/>
  </r>
  <r>
    <x v="4"/>
    <x v="0"/>
    <x v="1"/>
    <n v="483.73"/>
    <n v="742234.3543377888"/>
  </r>
  <r>
    <x v="4"/>
    <x v="0"/>
    <x v="2"/>
    <n v="96.90000000000001"/>
    <n v="148683.168162677"/>
  </r>
  <r>
    <x v="4"/>
    <x v="0"/>
    <x v="3"/>
    <m/>
    <n v="0"/>
  </r>
  <r>
    <x v="4"/>
    <x v="0"/>
    <x v="4"/>
    <n v="13.81"/>
    <n v="21190.03665971692"/>
  </r>
  <r>
    <x v="4"/>
    <x v="0"/>
    <x v="5"/>
    <n v="45.22"/>
    <n v="69385.47847591592"/>
  </r>
  <r>
    <x v="4"/>
    <x v="0"/>
    <x v="6"/>
    <m/>
    <n v="0"/>
  </r>
  <r>
    <x v="4"/>
    <x v="0"/>
    <x v="7"/>
    <m/>
    <n v="0"/>
  </r>
  <r>
    <x v="4"/>
    <x v="0"/>
    <x v="8"/>
    <m/>
    <n v="0"/>
  </r>
  <r>
    <x v="5"/>
    <x v="0"/>
    <x v="0"/>
    <n v="1438.73"/>
    <n v="2242191.064392386"/>
  </r>
  <r>
    <x v="5"/>
    <x v="0"/>
    <x v="1"/>
    <n v="655.35"/>
    <n v="1021331.253292522"/>
  </r>
  <r>
    <x v="5"/>
    <x v="0"/>
    <x v="2"/>
    <n v="89.09"/>
    <n v="138842.4526677817"/>
  </r>
  <r>
    <x v="5"/>
    <x v="0"/>
    <x v="3"/>
    <m/>
    <n v="0"/>
  </r>
  <r>
    <x v="5"/>
    <x v="0"/>
    <x v="4"/>
    <n v="76.95999999999999"/>
    <n v="119938.4348110055"/>
  </r>
  <r>
    <x v="5"/>
    <x v="0"/>
    <x v="5"/>
    <n v="55.13"/>
    <n v="85917.43647519145"/>
  </r>
  <r>
    <x v="5"/>
    <x v="0"/>
    <x v="6"/>
    <m/>
    <n v="0"/>
  </r>
  <r>
    <x v="5"/>
    <x v="0"/>
    <x v="7"/>
    <m/>
    <n v="0"/>
  </r>
  <r>
    <x v="5"/>
    <x v="0"/>
    <x v="8"/>
    <m/>
    <n v="0"/>
  </r>
  <r>
    <x v="6"/>
    <x v="0"/>
    <x v="0"/>
    <n v="2928.0004"/>
    <n v="3237356.524181436"/>
  </r>
  <r>
    <x v="6"/>
    <x v="0"/>
    <x v="1"/>
    <n v="665.2"/>
    <n v="735481.3065891287"/>
  </r>
  <r>
    <x v="6"/>
    <x v="0"/>
    <x v="2"/>
    <n v="87.88"/>
    <n v="97164.90863357279"/>
  </r>
  <r>
    <x v="6"/>
    <x v="0"/>
    <x v="3"/>
    <m/>
    <n v="0"/>
  </r>
  <r>
    <x v="6"/>
    <x v="0"/>
    <x v="4"/>
    <n v="11.96"/>
    <n v="13223.62661877026"/>
  </r>
  <r>
    <x v="6"/>
    <x v="0"/>
    <x v="5"/>
    <n v="316.7808000000001"/>
    <n v="350250.0852170016"/>
  </r>
  <r>
    <x v="6"/>
    <x v="0"/>
    <x v="6"/>
    <m/>
    <n v="0"/>
  </r>
  <r>
    <x v="6"/>
    <x v="0"/>
    <x v="7"/>
    <m/>
    <n v="0"/>
  </r>
  <r>
    <x v="6"/>
    <x v="0"/>
    <x v="8"/>
    <m/>
    <n v="0"/>
  </r>
  <r>
    <x v="6"/>
    <x v="1"/>
    <x v="0"/>
    <n v="12.5"/>
    <n v="13820.67999453414"/>
  </r>
  <r>
    <x v="6"/>
    <x v="1"/>
    <x v="1"/>
    <n v="665.16"/>
    <n v="735437.0804131461"/>
  </r>
  <r>
    <x v="6"/>
    <x v="1"/>
    <x v="2"/>
    <n v="87.88"/>
    <n v="97164.90863357279"/>
  </r>
  <r>
    <x v="6"/>
    <x v="1"/>
    <x v="3"/>
    <m/>
    <n v="0"/>
  </r>
  <r>
    <x v="6"/>
    <x v="1"/>
    <x v="4"/>
    <n v="11.96"/>
    <n v="13223.62661877026"/>
  </r>
  <r>
    <x v="6"/>
    <x v="1"/>
    <x v="5"/>
    <n v="0.54"/>
    <n v="597.0533757638748"/>
  </r>
  <r>
    <x v="6"/>
    <x v="1"/>
    <x v="6"/>
    <m/>
    <n v="0"/>
  </r>
  <r>
    <x v="6"/>
    <x v="1"/>
    <x v="7"/>
    <m/>
    <n v="0"/>
  </r>
  <r>
    <x v="6"/>
    <x v="1"/>
    <x v="8"/>
    <m/>
    <n v="0"/>
  </r>
  <r>
    <x v="6"/>
    <x v="2"/>
    <x v="0"/>
    <n v="93.84"/>
    <n v="93.84"/>
  </r>
  <r>
    <x v="6"/>
    <x v="2"/>
    <x v="1"/>
    <m/>
    <n v="0"/>
  </r>
  <r>
    <x v="6"/>
    <x v="2"/>
    <x v="2"/>
    <m/>
    <n v="0"/>
  </r>
  <r>
    <x v="6"/>
    <x v="2"/>
    <x v="3"/>
    <m/>
    <n v="0"/>
  </r>
  <r>
    <x v="6"/>
    <x v="2"/>
    <x v="4"/>
    <m/>
    <n v="0"/>
  </r>
  <r>
    <x v="6"/>
    <x v="2"/>
    <x v="5"/>
    <n v="93.84"/>
    <n v="93.84"/>
  </r>
  <r>
    <x v="6"/>
    <x v="2"/>
    <x v="6"/>
    <m/>
    <n v="0"/>
  </r>
  <r>
    <x v="6"/>
    <x v="2"/>
    <x v="7"/>
    <m/>
    <n v="0"/>
  </r>
  <r>
    <x v="6"/>
    <x v="2"/>
    <x v="8"/>
    <m/>
    <n v="0"/>
  </r>
  <r>
    <x v="6"/>
    <x v="3"/>
    <x v="0"/>
    <n v="197.21"/>
    <n v="197.21"/>
  </r>
  <r>
    <x v="6"/>
    <x v="3"/>
    <x v="1"/>
    <m/>
    <n v="0"/>
  </r>
  <r>
    <x v="6"/>
    <x v="3"/>
    <x v="2"/>
    <m/>
    <n v="0"/>
  </r>
  <r>
    <x v="6"/>
    <x v="3"/>
    <x v="3"/>
    <m/>
    <n v="0"/>
  </r>
  <r>
    <x v="6"/>
    <x v="3"/>
    <x v="4"/>
    <m/>
    <n v="0"/>
  </r>
  <r>
    <x v="6"/>
    <x v="3"/>
    <x v="5"/>
    <m/>
    <n v="0"/>
  </r>
  <r>
    <x v="6"/>
    <x v="3"/>
    <x v="6"/>
    <m/>
    <n v="0"/>
  </r>
  <r>
    <x v="6"/>
    <x v="3"/>
    <x v="7"/>
    <m/>
    <n v="0"/>
  </r>
  <r>
    <x v="6"/>
    <x v="3"/>
    <x v="8"/>
    <m/>
    <n v="0"/>
  </r>
  <r>
    <x v="7"/>
    <x v="0"/>
    <x v="0"/>
    <n v="2162.1637"/>
    <n v="2306280.791970551"/>
  </r>
  <r>
    <x v="7"/>
    <x v="0"/>
    <x v="1"/>
    <n v="356.4"/>
    <n v="380155.5239588493"/>
  </r>
  <r>
    <x v="7"/>
    <x v="0"/>
    <x v="2"/>
    <n v="64.02"/>
    <n v="68287.19597038589"/>
  </r>
  <r>
    <x v="7"/>
    <x v="0"/>
    <x v="3"/>
    <m/>
    <n v="0"/>
  </r>
  <r>
    <x v="7"/>
    <x v="0"/>
    <x v="4"/>
    <n v="10.43"/>
    <n v="11125.20234256677"/>
  </r>
  <r>
    <x v="7"/>
    <x v="0"/>
    <x v="5"/>
    <n v="315.255"/>
    <n v="336268.0407004686"/>
  </r>
  <r>
    <x v="7"/>
    <x v="0"/>
    <x v="6"/>
    <m/>
    <n v="0"/>
  </r>
  <r>
    <x v="7"/>
    <x v="0"/>
    <x v="7"/>
    <m/>
    <n v="0"/>
  </r>
  <r>
    <x v="7"/>
    <x v="0"/>
    <x v="8"/>
    <m/>
    <n v="0"/>
  </r>
  <r>
    <x v="7"/>
    <x v="1"/>
    <x v="0"/>
    <n v="702.1199999999999"/>
    <n v="748919.1820482245"/>
  </r>
  <r>
    <x v="7"/>
    <x v="1"/>
    <x v="1"/>
    <n v="356.44"/>
    <n v="380198.1901231544"/>
  </r>
  <r>
    <x v="7"/>
    <x v="1"/>
    <x v="2"/>
    <n v="64.02"/>
    <n v="68287.19597038589"/>
  </r>
  <r>
    <x v="7"/>
    <x v="1"/>
    <x v="3"/>
    <m/>
    <n v="0"/>
  </r>
  <r>
    <x v="7"/>
    <x v="1"/>
    <x v="4"/>
    <n v="10.43"/>
    <n v="11125.20234256677"/>
  </r>
  <r>
    <x v="7"/>
    <x v="1"/>
    <x v="5"/>
    <n v="0.28"/>
    <n v="298.6631501360208"/>
  </r>
  <r>
    <x v="7"/>
    <x v="1"/>
    <x v="6"/>
    <m/>
    <n v="0"/>
  </r>
  <r>
    <x v="7"/>
    <x v="1"/>
    <x v="7"/>
    <m/>
    <n v="0"/>
  </r>
  <r>
    <x v="7"/>
    <x v="1"/>
    <x v="8"/>
    <m/>
    <n v="0"/>
  </r>
  <r>
    <x v="7"/>
    <x v="2"/>
    <x v="0"/>
    <n v="361.74"/>
    <n v="361.74"/>
  </r>
  <r>
    <x v="7"/>
    <x v="2"/>
    <x v="1"/>
    <m/>
    <n v="0"/>
  </r>
  <r>
    <x v="7"/>
    <x v="2"/>
    <x v="2"/>
    <m/>
    <n v="0"/>
  </r>
  <r>
    <x v="7"/>
    <x v="2"/>
    <x v="3"/>
    <m/>
    <n v="0"/>
  </r>
  <r>
    <x v="7"/>
    <x v="2"/>
    <x v="4"/>
    <m/>
    <n v="0"/>
  </r>
  <r>
    <x v="7"/>
    <x v="2"/>
    <x v="5"/>
    <n v="107.5"/>
    <n v="107.5"/>
  </r>
  <r>
    <x v="7"/>
    <x v="2"/>
    <x v="6"/>
    <m/>
    <n v="0"/>
  </r>
  <r>
    <x v="7"/>
    <x v="2"/>
    <x v="7"/>
    <m/>
    <n v="0"/>
  </r>
  <r>
    <x v="7"/>
    <x v="2"/>
    <x v="8"/>
    <m/>
    <n v="0"/>
  </r>
  <r>
    <x v="7"/>
    <x v="3"/>
    <x v="0"/>
    <n v="199.15"/>
    <n v="199.15"/>
  </r>
  <r>
    <x v="7"/>
    <x v="3"/>
    <x v="1"/>
    <m/>
    <n v="0"/>
  </r>
  <r>
    <x v="7"/>
    <x v="3"/>
    <x v="2"/>
    <m/>
    <n v="0"/>
  </r>
  <r>
    <x v="7"/>
    <x v="3"/>
    <x v="3"/>
    <m/>
    <n v="0"/>
  </r>
  <r>
    <x v="7"/>
    <x v="3"/>
    <x v="4"/>
    <m/>
    <n v="0"/>
  </r>
  <r>
    <x v="7"/>
    <x v="3"/>
    <x v="5"/>
    <m/>
    <n v="0"/>
  </r>
  <r>
    <x v="7"/>
    <x v="3"/>
    <x v="6"/>
    <m/>
    <n v="0"/>
  </r>
  <r>
    <x v="7"/>
    <x v="3"/>
    <x v="7"/>
    <m/>
    <n v="0"/>
  </r>
  <r>
    <x v="7"/>
    <x v="3"/>
    <x v="8"/>
    <m/>
    <n v="0"/>
  </r>
  <r>
    <x v="8"/>
    <x v="0"/>
    <x v="0"/>
    <n v="2687.81951246"/>
    <n v="2702117.997193399"/>
  </r>
  <r>
    <x v="8"/>
    <x v="0"/>
    <x v="1"/>
    <n v="454.59"/>
    <n v="457008.2978599656"/>
  </r>
  <r>
    <x v="8"/>
    <x v="0"/>
    <x v="2"/>
    <n v="38.92"/>
    <n v="39127.04404564523"/>
  </r>
  <r>
    <x v="8"/>
    <x v="0"/>
    <x v="3"/>
    <m/>
    <n v="0"/>
  </r>
  <r>
    <x v="8"/>
    <x v="0"/>
    <x v="4"/>
    <n v="10.1649"/>
    <n v="10218.97456370964"/>
  </r>
  <r>
    <x v="8"/>
    <x v="0"/>
    <x v="5"/>
    <n v="334.0954458"/>
    <n v="335872.7446882343"/>
  </r>
  <r>
    <x v="8"/>
    <x v="0"/>
    <x v="6"/>
    <m/>
    <n v="0"/>
  </r>
  <r>
    <x v="8"/>
    <x v="0"/>
    <x v="7"/>
    <m/>
    <n v="0"/>
  </r>
  <r>
    <x v="8"/>
    <x v="0"/>
    <x v="8"/>
    <m/>
    <n v="0"/>
  </r>
  <r>
    <x v="8"/>
    <x v="1"/>
    <x v="0"/>
    <n v="795.2148999999999"/>
    <n v="799445.2317074349"/>
  </r>
  <r>
    <x v="8"/>
    <x v="1"/>
    <x v="1"/>
    <n v="454.59"/>
    <n v="457008.2978599656"/>
  </r>
  <r>
    <x v="8"/>
    <x v="1"/>
    <x v="2"/>
    <n v="38.92"/>
    <n v="39127.04404564523"/>
  </r>
  <r>
    <x v="8"/>
    <x v="1"/>
    <x v="3"/>
    <m/>
    <n v="0"/>
  </r>
  <r>
    <x v="8"/>
    <x v="1"/>
    <x v="4"/>
    <n v="10.1649"/>
    <n v="10218.97456370964"/>
  </r>
  <r>
    <x v="8"/>
    <x v="1"/>
    <x v="5"/>
    <m/>
    <n v="0"/>
  </r>
  <r>
    <x v="8"/>
    <x v="1"/>
    <x v="6"/>
    <m/>
    <n v="0"/>
  </r>
  <r>
    <x v="8"/>
    <x v="1"/>
    <x v="7"/>
    <m/>
    <n v="0"/>
  </r>
  <r>
    <x v="8"/>
    <x v="1"/>
    <x v="8"/>
    <m/>
    <n v="0"/>
  </r>
  <r>
    <x v="8"/>
    <x v="2"/>
    <x v="0"/>
    <n v="366.3913"/>
    <n v="366.3913"/>
  </r>
  <r>
    <x v="8"/>
    <x v="2"/>
    <x v="1"/>
    <m/>
    <n v="0"/>
  </r>
  <r>
    <x v="8"/>
    <x v="2"/>
    <x v="2"/>
    <m/>
    <n v="0"/>
  </r>
  <r>
    <x v="8"/>
    <x v="2"/>
    <x v="3"/>
    <m/>
    <n v="0"/>
  </r>
  <r>
    <x v="8"/>
    <x v="2"/>
    <x v="4"/>
    <m/>
    <n v="0"/>
  </r>
  <r>
    <x v="8"/>
    <x v="2"/>
    <x v="5"/>
    <n v="112.1502"/>
    <n v="112.1502"/>
  </r>
  <r>
    <x v="8"/>
    <x v="2"/>
    <x v="6"/>
    <m/>
    <n v="0"/>
  </r>
  <r>
    <x v="8"/>
    <x v="2"/>
    <x v="7"/>
    <m/>
    <n v="0"/>
  </r>
  <r>
    <x v="8"/>
    <x v="2"/>
    <x v="8"/>
    <m/>
    <n v="0"/>
  </r>
  <r>
    <x v="8"/>
    <x v="3"/>
    <x v="0"/>
    <n v="197.3603"/>
    <n v="197.3603"/>
  </r>
  <r>
    <x v="8"/>
    <x v="3"/>
    <x v="1"/>
    <m/>
    <n v="0"/>
  </r>
  <r>
    <x v="8"/>
    <x v="3"/>
    <x v="2"/>
    <m/>
    <n v="0"/>
  </r>
  <r>
    <x v="8"/>
    <x v="3"/>
    <x v="3"/>
    <m/>
    <n v="0"/>
  </r>
  <r>
    <x v="8"/>
    <x v="3"/>
    <x v="4"/>
    <m/>
    <n v="0"/>
  </r>
  <r>
    <x v="8"/>
    <x v="3"/>
    <x v="5"/>
    <m/>
    <n v="0"/>
  </r>
  <r>
    <x v="8"/>
    <x v="3"/>
    <x v="6"/>
    <m/>
    <n v="0"/>
  </r>
  <r>
    <x v="8"/>
    <x v="3"/>
    <x v="7"/>
    <m/>
    <n v="0"/>
  </r>
  <r>
    <x v="8"/>
    <x v="3"/>
    <x v="8"/>
    <m/>
    <n v="0"/>
  </r>
  <r>
    <x v="9"/>
    <x v="0"/>
    <x v="0"/>
    <n v="3190.82055421"/>
    <n v="2855777.369413249"/>
  </r>
  <r>
    <x v="9"/>
    <x v="0"/>
    <x v="1"/>
    <n v="970.17"/>
    <n v="868300.0135586153"/>
  </r>
  <r>
    <x v="9"/>
    <x v="0"/>
    <x v="2"/>
    <n v="35.9"/>
    <n v="32130.42094349886"/>
  </r>
  <r>
    <x v="9"/>
    <x v="0"/>
    <x v="3"/>
    <m/>
    <n v="0"/>
  </r>
  <r>
    <x v="9"/>
    <x v="0"/>
    <x v="4"/>
    <n v="7.9"/>
    <n v="7070.482603165488"/>
  </r>
  <r>
    <x v="9"/>
    <x v="0"/>
    <x v="5"/>
    <n v="356.0620104"/>
    <n v="318674.7152128265"/>
  </r>
  <r>
    <x v="9"/>
    <x v="0"/>
    <x v="6"/>
    <m/>
    <n v="0"/>
  </r>
  <r>
    <x v="9"/>
    <x v="0"/>
    <x v="7"/>
    <m/>
    <n v="0"/>
  </r>
  <r>
    <x v="9"/>
    <x v="0"/>
    <x v="8"/>
    <m/>
    <n v="0"/>
  </r>
  <r>
    <x v="9"/>
    <x v="1"/>
    <x v="0"/>
    <n v="1441.5514"/>
    <n v="1290185.328515045"/>
  </r>
  <r>
    <x v="9"/>
    <x v="1"/>
    <x v="1"/>
    <n v="970.17"/>
    <n v="868300.0135586153"/>
  </r>
  <r>
    <x v="9"/>
    <x v="1"/>
    <x v="2"/>
    <n v="35.8677"/>
    <n v="32101.51251462769"/>
  </r>
  <r>
    <x v="9"/>
    <x v="1"/>
    <x v="3"/>
    <m/>
    <n v="0"/>
  </r>
  <r>
    <x v="9"/>
    <x v="1"/>
    <x v="4"/>
    <n v="7.856"/>
    <n v="7031.102700059249"/>
  </r>
  <r>
    <x v="9"/>
    <x v="1"/>
    <x v="5"/>
    <m/>
    <n v="0"/>
  </r>
  <r>
    <x v="9"/>
    <x v="1"/>
    <x v="6"/>
    <m/>
    <n v="0"/>
  </r>
  <r>
    <x v="9"/>
    <x v="1"/>
    <x v="7"/>
    <m/>
    <n v="0"/>
  </r>
  <r>
    <x v="9"/>
    <x v="1"/>
    <x v="8"/>
    <m/>
    <n v="0"/>
  </r>
  <r>
    <x v="9"/>
    <x v="2"/>
    <x v="0"/>
    <n v="371.8647"/>
    <n v="371.8647"/>
  </r>
  <r>
    <x v="9"/>
    <x v="2"/>
    <x v="1"/>
    <m/>
    <n v="0"/>
  </r>
  <r>
    <x v="9"/>
    <x v="2"/>
    <x v="2"/>
    <m/>
    <n v="0"/>
  </r>
  <r>
    <x v="9"/>
    <x v="2"/>
    <x v="3"/>
    <m/>
    <n v="0"/>
  </r>
  <r>
    <x v="9"/>
    <x v="2"/>
    <x v="4"/>
    <m/>
    <n v="0"/>
  </r>
  <r>
    <x v="9"/>
    <x v="2"/>
    <x v="5"/>
    <n v="117.4347"/>
    <n v="117.4347"/>
  </r>
  <r>
    <x v="9"/>
    <x v="2"/>
    <x v="6"/>
    <m/>
    <n v="0"/>
  </r>
  <r>
    <x v="9"/>
    <x v="2"/>
    <x v="7"/>
    <m/>
    <n v="0"/>
  </r>
  <r>
    <x v="9"/>
    <x v="2"/>
    <x v="8"/>
    <m/>
    <n v="0"/>
  </r>
  <r>
    <x v="9"/>
    <x v="3"/>
    <x v="0"/>
    <n v="173.3249"/>
    <n v="173.3249"/>
  </r>
  <r>
    <x v="9"/>
    <x v="3"/>
    <x v="1"/>
    <m/>
    <n v="0"/>
  </r>
  <r>
    <x v="9"/>
    <x v="3"/>
    <x v="2"/>
    <m/>
    <n v="0"/>
  </r>
  <r>
    <x v="9"/>
    <x v="3"/>
    <x v="3"/>
    <m/>
    <n v="0"/>
  </r>
  <r>
    <x v="9"/>
    <x v="3"/>
    <x v="4"/>
    <m/>
    <n v="0"/>
  </r>
  <r>
    <x v="9"/>
    <x v="3"/>
    <x v="5"/>
    <m/>
    <n v="0"/>
  </r>
  <r>
    <x v="9"/>
    <x v="3"/>
    <x v="6"/>
    <m/>
    <n v="0"/>
  </r>
  <r>
    <x v="9"/>
    <x v="3"/>
    <x v="7"/>
    <m/>
    <n v="0"/>
  </r>
  <r>
    <x v="9"/>
    <x v="3"/>
    <x v="8"/>
    <m/>
    <n v="0"/>
  </r>
  <r>
    <x v="10"/>
    <x v="0"/>
    <x v="0"/>
    <n v="3069.733326"/>
    <n v="2501320.009269023"/>
  </r>
  <r>
    <x v="10"/>
    <x v="0"/>
    <x v="1"/>
    <n v="1164.316"/>
    <n v="948723.0969691311"/>
  </r>
  <r>
    <x v="10"/>
    <x v="0"/>
    <x v="2"/>
    <n v="34.2876"/>
    <n v="27938.66790427923"/>
  </r>
  <r>
    <x v="10"/>
    <x v="0"/>
    <x v="3"/>
    <m/>
    <n v="0"/>
  </r>
  <r>
    <x v="10"/>
    <x v="0"/>
    <x v="4"/>
    <n v="6.8733"/>
    <n v="5600.591645565233"/>
  </r>
  <r>
    <x v="10"/>
    <x v="0"/>
    <x v="5"/>
    <n v="464.024991"/>
    <n v="378102.8745912563"/>
  </r>
  <r>
    <x v="10"/>
    <x v="0"/>
    <x v="6"/>
    <m/>
    <n v="0"/>
  </r>
  <r>
    <x v="10"/>
    <x v="0"/>
    <x v="7"/>
    <m/>
    <n v="0"/>
  </r>
  <r>
    <x v="10"/>
    <x v="0"/>
    <x v="8"/>
    <m/>
    <n v="0"/>
  </r>
  <r>
    <x v="10"/>
    <x v="1"/>
    <x v="0"/>
    <n v="1382.2263"/>
    <n v="1126283.600026267"/>
  </r>
  <r>
    <x v="10"/>
    <x v="1"/>
    <x v="1"/>
    <n v="1164.316"/>
    <n v="948723.0969691311"/>
  </r>
  <r>
    <x v="10"/>
    <x v="1"/>
    <x v="2"/>
    <n v="34.2876"/>
    <n v="27938.66790427923"/>
  </r>
  <r>
    <x v="10"/>
    <x v="1"/>
    <x v="3"/>
    <m/>
    <n v="0"/>
  </r>
  <r>
    <x v="10"/>
    <x v="1"/>
    <x v="4"/>
    <n v="6.8733"/>
    <n v="5600.591645565233"/>
  </r>
  <r>
    <x v="10"/>
    <x v="1"/>
    <x v="5"/>
    <m/>
    <n v="0"/>
  </r>
  <r>
    <x v="10"/>
    <x v="1"/>
    <x v="6"/>
    <m/>
    <n v="0"/>
  </r>
  <r>
    <x v="10"/>
    <x v="1"/>
    <x v="7"/>
    <m/>
    <n v="0"/>
  </r>
  <r>
    <x v="10"/>
    <x v="1"/>
    <x v="8"/>
    <m/>
    <n v="0"/>
  </r>
  <r>
    <x v="10"/>
    <x v="2"/>
    <x v="0"/>
    <n v="404.6549"/>
    <n v="404.6549"/>
  </r>
  <r>
    <x v="10"/>
    <x v="2"/>
    <x v="1"/>
    <m/>
    <n v="0"/>
  </r>
  <r>
    <x v="10"/>
    <x v="2"/>
    <x v="2"/>
    <m/>
    <n v="0"/>
  </r>
  <r>
    <x v="10"/>
    <x v="2"/>
    <x v="3"/>
    <m/>
    <n v="0"/>
  </r>
  <r>
    <x v="10"/>
    <x v="2"/>
    <x v="4"/>
    <m/>
    <n v="0"/>
  </r>
  <r>
    <x v="10"/>
    <x v="2"/>
    <x v="5"/>
    <n v="150.1699"/>
    <n v="150.1699"/>
  </r>
  <r>
    <x v="10"/>
    <x v="2"/>
    <x v="6"/>
    <m/>
    <n v="0"/>
  </r>
  <r>
    <x v="10"/>
    <x v="2"/>
    <x v="7"/>
    <m/>
    <n v="0"/>
  </r>
  <r>
    <x v="10"/>
    <x v="2"/>
    <x v="8"/>
    <m/>
    <n v="0"/>
  </r>
  <r>
    <x v="10"/>
    <x v="3"/>
    <x v="0"/>
    <n v="107.9317"/>
    <n v="107.9317"/>
  </r>
  <r>
    <x v="10"/>
    <x v="3"/>
    <x v="1"/>
    <m/>
    <n v="0"/>
  </r>
  <r>
    <x v="10"/>
    <x v="3"/>
    <x v="2"/>
    <m/>
    <n v="0"/>
  </r>
  <r>
    <x v="10"/>
    <x v="3"/>
    <x v="3"/>
    <m/>
    <n v="0"/>
  </r>
  <r>
    <x v="10"/>
    <x v="3"/>
    <x v="4"/>
    <m/>
    <n v="0"/>
  </r>
  <r>
    <x v="10"/>
    <x v="3"/>
    <x v="5"/>
    <m/>
    <n v="0"/>
  </r>
  <r>
    <x v="10"/>
    <x v="3"/>
    <x v="6"/>
    <m/>
    <n v="0"/>
  </r>
  <r>
    <x v="10"/>
    <x v="3"/>
    <x v="7"/>
    <m/>
    <n v="0"/>
  </r>
  <r>
    <x v="10"/>
    <x v="3"/>
    <x v="8"/>
    <m/>
    <n v="0"/>
  </r>
  <r>
    <x v="11"/>
    <x v="0"/>
    <x v="0"/>
    <n v="2722.11991185"/>
    <n v="1825265.452206256"/>
  </r>
  <r>
    <x v="11"/>
    <x v="0"/>
    <x v="1"/>
    <n v="962.4666999999999"/>
    <n v="645363.6405807855"/>
  </r>
  <r>
    <x v="11"/>
    <x v="0"/>
    <x v="2"/>
    <n v="34.1133"/>
    <n v="22874.02097155622"/>
  </r>
  <r>
    <x v="11"/>
    <x v="0"/>
    <x v="3"/>
    <m/>
    <n v="0"/>
  </r>
  <r>
    <x v="11"/>
    <x v="0"/>
    <x v="4"/>
    <n v="5.4189"/>
    <n v="3633.539770200069"/>
  </r>
  <r>
    <x v="11"/>
    <x v="0"/>
    <x v="5"/>
    <n v="624.0108676"/>
    <n v="418418.5544043347"/>
  </r>
  <r>
    <x v="11"/>
    <x v="0"/>
    <x v="6"/>
    <n v="6.780516"/>
    <n v="4546.545341024542"/>
  </r>
  <r>
    <x v="11"/>
    <x v="0"/>
    <x v="7"/>
    <m/>
    <n v="0"/>
  </r>
  <r>
    <x v="11"/>
    <x v="0"/>
    <x v="8"/>
    <m/>
    <n v="0"/>
  </r>
  <r>
    <x v="11"/>
    <x v="1"/>
    <x v="0"/>
    <n v="1096.9815"/>
    <n v="735559.9674147385"/>
  </r>
  <r>
    <x v="11"/>
    <x v="1"/>
    <x v="1"/>
    <n v="962.4666999999999"/>
    <n v="645363.6405807855"/>
  </r>
  <r>
    <x v="11"/>
    <x v="1"/>
    <x v="2"/>
    <n v="34.1133"/>
    <n v="22874.02097155622"/>
  </r>
  <r>
    <x v="11"/>
    <x v="1"/>
    <x v="3"/>
    <m/>
    <n v="0"/>
  </r>
  <r>
    <x v="11"/>
    <x v="1"/>
    <x v="4"/>
    <n v="5.4189"/>
    <n v="3633.539770200069"/>
  </r>
  <r>
    <x v="11"/>
    <x v="1"/>
    <x v="5"/>
    <m/>
    <n v="0"/>
  </r>
  <r>
    <x v="11"/>
    <x v="1"/>
    <x v="6"/>
    <m/>
    <n v="0"/>
  </r>
  <r>
    <x v="11"/>
    <x v="1"/>
    <x v="7"/>
    <m/>
    <n v="0"/>
  </r>
  <r>
    <x v="11"/>
    <x v="1"/>
    <x v="8"/>
    <m/>
    <n v="0"/>
  </r>
  <r>
    <x v="11"/>
    <x v="2"/>
    <x v="0"/>
    <n v="452.143"/>
    <n v="452.143"/>
  </r>
  <r>
    <x v="11"/>
    <x v="2"/>
    <x v="1"/>
    <m/>
    <n v="0"/>
  </r>
  <r>
    <x v="11"/>
    <x v="2"/>
    <x v="2"/>
    <m/>
    <n v="0"/>
  </r>
  <r>
    <x v="11"/>
    <x v="2"/>
    <x v="3"/>
    <m/>
    <n v="0"/>
  </r>
  <r>
    <x v="11"/>
    <x v="2"/>
    <x v="4"/>
    <m/>
    <n v="0"/>
  </r>
  <r>
    <x v="11"/>
    <x v="2"/>
    <x v="5"/>
    <n v="197.658"/>
    <n v="197.658"/>
  </r>
  <r>
    <x v="11"/>
    <x v="2"/>
    <x v="6"/>
    <m/>
    <n v="0"/>
  </r>
  <r>
    <x v="11"/>
    <x v="2"/>
    <x v="7"/>
    <m/>
    <n v="0"/>
  </r>
  <r>
    <x v="11"/>
    <x v="2"/>
    <x v="8"/>
    <m/>
    <n v="0"/>
  </r>
  <r>
    <x v="11"/>
    <x v="3"/>
    <x v="0"/>
    <n v="43.4719"/>
    <n v="43.4719"/>
  </r>
  <r>
    <x v="11"/>
    <x v="3"/>
    <x v="1"/>
    <m/>
    <n v="0"/>
  </r>
  <r>
    <x v="11"/>
    <x v="3"/>
    <x v="2"/>
    <m/>
    <n v="0"/>
  </r>
  <r>
    <x v="11"/>
    <x v="3"/>
    <x v="3"/>
    <m/>
    <n v="0"/>
  </r>
  <r>
    <x v="11"/>
    <x v="3"/>
    <x v="4"/>
    <m/>
    <n v="0"/>
  </r>
  <r>
    <x v="11"/>
    <x v="3"/>
    <x v="5"/>
    <n v="0.3424"/>
    <n v="0.3424"/>
  </r>
  <r>
    <x v="11"/>
    <x v="3"/>
    <x v="6"/>
    <n v="1.464"/>
    <n v="1.464"/>
  </r>
  <r>
    <x v="11"/>
    <x v="3"/>
    <x v="7"/>
    <m/>
    <n v="0"/>
  </r>
  <r>
    <x v="11"/>
    <x v="3"/>
    <x v="8"/>
    <m/>
    <n v="0"/>
  </r>
  <r>
    <x v="12"/>
    <x v="0"/>
    <x v="0"/>
    <n v="3688.0461065315"/>
    <n v="2050563.464875289"/>
  </r>
  <r>
    <x v="12"/>
    <x v="0"/>
    <x v="1"/>
    <n v="1975.3239"/>
    <n v="1098285.353174278"/>
  </r>
  <r>
    <x v="12"/>
    <x v="0"/>
    <x v="2"/>
    <n v="33.5211"/>
    <n v="18637.82094282881"/>
  </r>
  <r>
    <x v="12"/>
    <x v="0"/>
    <x v="3"/>
    <m/>
    <n v="0"/>
  </r>
  <r>
    <x v="12"/>
    <x v="0"/>
    <x v="4"/>
    <n v="4.0424"/>
    <n v="2247.585174093069"/>
  </r>
  <r>
    <x v="12"/>
    <x v="0"/>
    <x v="5"/>
    <n v="680.553168741"/>
    <n v="378389.3756788864"/>
  </r>
  <r>
    <x v="12"/>
    <x v="0"/>
    <x v="6"/>
    <m/>
    <n v="0"/>
  </r>
  <r>
    <x v="12"/>
    <x v="0"/>
    <x v="7"/>
    <m/>
    <n v="0"/>
  </r>
  <r>
    <x v="12"/>
    <x v="0"/>
    <x v="8"/>
    <m/>
    <n v="0"/>
  </r>
  <r>
    <x v="12"/>
    <x v="1"/>
    <x v="0"/>
    <n v="2070.2912"/>
    <n v="1151087.425087905"/>
  </r>
  <r>
    <x v="12"/>
    <x v="1"/>
    <x v="1"/>
    <n v="1975.3239"/>
    <n v="1098285.353174278"/>
  </r>
  <r>
    <x v="12"/>
    <x v="1"/>
    <x v="2"/>
    <n v="33.5211"/>
    <n v="18637.82094282881"/>
  </r>
  <r>
    <x v="12"/>
    <x v="1"/>
    <x v="3"/>
    <m/>
    <n v="0"/>
  </r>
  <r>
    <x v="12"/>
    <x v="1"/>
    <x v="4"/>
    <n v="4.0424"/>
    <n v="2247.585174093069"/>
  </r>
  <r>
    <x v="12"/>
    <x v="1"/>
    <x v="5"/>
    <m/>
    <n v="0"/>
  </r>
  <r>
    <x v="12"/>
    <x v="1"/>
    <x v="6"/>
    <m/>
    <n v="0"/>
  </r>
  <r>
    <x v="12"/>
    <x v="1"/>
    <x v="7"/>
    <m/>
    <n v="0"/>
  </r>
  <r>
    <x v="12"/>
    <x v="1"/>
    <x v="8"/>
    <m/>
    <n v="0"/>
  </r>
  <r>
    <x v="12"/>
    <x v="2"/>
    <x v="0"/>
    <n v="441.9628"/>
    <n v="441.9628"/>
  </r>
  <r>
    <x v="12"/>
    <x v="2"/>
    <x v="1"/>
    <m/>
    <n v="0"/>
  </r>
  <r>
    <x v="12"/>
    <x v="2"/>
    <x v="2"/>
    <m/>
    <n v="0"/>
  </r>
  <r>
    <x v="12"/>
    <x v="2"/>
    <x v="3"/>
    <m/>
    <n v="0"/>
  </r>
  <r>
    <x v="12"/>
    <x v="2"/>
    <x v="4"/>
    <m/>
    <n v="0"/>
  </r>
  <r>
    <x v="12"/>
    <x v="2"/>
    <x v="5"/>
    <n v="187.4778"/>
    <n v="187.4778"/>
  </r>
  <r>
    <x v="12"/>
    <x v="2"/>
    <x v="6"/>
    <m/>
    <n v="0"/>
  </r>
  <r>
    <x v="12"/>
    <x v="2"/>
    <x v="7"/>
    <m/>
    <n v="0"/>
  </r>
  <r>
    <x v="12"/>
    <x v="2"/>
    <x v="8"/>
    <m/>
    <n v="0"/>
  </r>
  <r>
    <x v="12"/>
    <x v="3"/>
    <x v="0"/>
    <n v="19.0719"/>
    <n v="19.0719"/>
  </r>
  <r>
    <x v="12"/>
    <x v="3"/>
    <x v="1"/>
    <m/>
    <n v="0"/>
  </r>
  <r>
    <x v="12"/>
    <x v="3"/>
    <x v="2"/>
    <m/>
    <n v="0"/>
  </r>
  <r>
    <x v="12"/>
    <x v="3"/>
    <x v="3"/>
    <m/>
    <n v="0"/>
  </r>
  <r>
    <x v="12"/>
    <x v="3"/>
    <x v="4"/>
    <m/>
    <n v="0"/>
  </r>
  <r>
    <x v="12"/>
    <x v="3"/>
    <x v="5"/>
    <n v="6.9066"/>
    <n v="6.9066"/>
  </r>
  <r>
    <x v="12"/>
    <x v="3"/>
    <x v="6"/>
    <m/>
    <n v="0"/>
  </r>
  <r>
    <x v="12"/>
    <x v="3"/>
    <x v="7"/>
    <m/>
    <n v="0"/>
  </r>
  <r>
    <x v="12"/>
    <x v="3"/>
    <x v="8"/>
    <m/>
    <n v="0"/>
  </r>
  <r>
    <x v="13"/>
    <x v="0"/>
    <x v="0"/>
    <n v="4899.370722811999"/>
    <n v="2299298.601117047"/>
  </r>
  <r>
    <x v="13"/>
    <x v="0"/>
    <x v="1"/>
    <n v="2326.3446"/>
    <n v="1091764.879026373"/>
  </r>
  <r>
    <x v="13"/>
    <x v="0"/>
    <x v="2"/>
    <n v="33.1605"/>
    <n v="15562.38455427198"/>
  </r>
  <r>
    <x v="13"/>
    <x v="0"/>
    <x v="3"/>
    <n v="300.7434"/>
    <n v="141140.3459826975"/>
  </r>
  <r>
    <x v="13"/>
    <x v="0"/>
    <x v="4"/>
    <n v="1.7782"/>
    <n v="834.5179419612623"/>
  </r>
  <r>
    <x v="13"/>
    <x v="0"/>
    <x v="5"/>
    <n v="775.4652428119999"/>
    <n v="363929.6246170064"/>
  </r>
  <r>
    <x v="13"/>
    <x v="0"/>
    <x v="6"/>
    <m/>
    <n v="0"/>
  </r>
  <r>
    <x v="13"/>
    <x v="0"/>
    <x v="7"/>
    <m/>
    <n v="0"/>
  </r>
  <r>
    <x v="13"/>
    <x v="0"/>
    <x v="8"/>
    <m/>
    <n v="0"/>
  </r>
  <r>
    <x v="13"/>
    <x v="1"/>
    <x v="0"/>
    <n v="3288.2338"/>
    <n v="1543184.17695617"/>
  </r>
  <r>
    <x v="13"/>
    <x v="1"/>
    <x v="1"/>
    <n v="2326.3446"/>
    <n v="1091764.879026373"/>
  </r>
  <r>
    <x v="13"/>
    <x v="1"/>
    <x v="2"/>
    <n v="33.1605"/>
    <n v="15562.38455427198"/>
  </r>
  <r>
    <x v="13"/>
    <x v="1"/>
    <x v="3"/>
    <n v="300.7434"/>
    <n v="141140.3459826975"/>
  </r>
  <r>
    <x v="13"/>
    <x v="1"/>
    <x v="4"/>
    <n v="1.7782"/>
    <n v="834.5179419612623"/>
  </r>
  <r>
    <x v="13"/>
    <x v="1"/>
    <x v="5"/>
    <m/>
    <n v="0"/>
  </r>
  <r>
    <x v="13"/>
    <x v="1"/>
    <x v="6"/>
    <m/>
    <n v="0"/>
  </r>
  <r>
    <x v="13"/>
    <x v="1"/>
    <x v="7"/>
    <m/>
    <n v="0"/>
  </r>
  <r>
    <x v="13"/>
    <x v="1"/>
    <x v="8"/>
    <m/>
    <n v="0"/>
  </r>
  <r>
    <x v="13"/>
    <x v="2"/>
    <x v="0"/>
    <n v="389.0427"/>
    <n v="389.0427"/>
  </r>
  <r>
    <x v="13"/>
    <x v="2"/>
    <x v="1"/>
    <m/>
    <n v="0"/>
  </r>
  <r>
    <x v="13"/>
    <x v="2"/>
    <x v="2"/>
    <m/>
    <n v="0"/>
  </r>
  <r>
    <x v="13"/>
    <x v="2"/>
    <x v="3"/>
    <m/>
    <n v="0"/>
  </r>
  <r>
    <x v="13"/>
    <x v="2"/>
    <x v="4"/>
    <m/>
    <n v="0"/>
  </r>
  <r>
    <x v="13"/>
    <x v="2"/>
    <x v="5"/>
    <n v="169.1291"/>
    <n v="169.1291"/>
  </r>
  <r>
    <x v="13"/>
    <x v="2"/>
    <x v="6"/>
    <m/>
    <n v="0"/>
  </r>
  <r>
    <x v="13"/>
    <x v="2"/>
    <x v="7"/>
    <m/>
    <n v="0"/>
  </r>
  <r>
    <x v="13"/>
    <x v="2"/>
    <x v="8"/>
    <m/>
    <n v="0"/>
  </r>
  <r>
    <x v="13"/>
    <x v="4"/>
    <x v="0"/>
    <n v="24.3778"/>
    <n v="24.3778"/>
  </r>
  <r>
    <x v="13"/>
    <x v="4"/>
    <x v="1"/>
    <m/>
    <n v="0"/>
  </r>
  <r>
    <x v="13"/>
    <x v="4"/>
    <x v="2"/>
    <m/>
    <n v="0"/>
  </r>
  <r>
    <x v="13"/>
    <x v="4"/>
    <x v="3"/>
    <m/>
    <n v="0"/>
  </r>
  <r>
    <x v="13"/>
    <x v="4"/>
    <x v="4"/>
    <m/>
    <n v="0"/>
  </r>
  <r>
    <x v="13"/>
    <x v="4"/>
    <x v="5"/>
    <n v="24.3778"/>
    <n v="24.3778"/>
  </r>
  <r>
    <x v="13"/>
    <x v="4"/>
    <x v="6"/>
    <m/>
    <n v="0"/>
  </r>
  <r>
    <x v="13"/>
    <x v="4"/>
    <x v="7"/>
    <m/>
    <n v="0"/>
  </r>
  <r>
    <x v="13"/>
    <x v="4"/>
    <x v="8"/>
    <m/>
    <n v="0"/>
  </r>
  <r>
    <x v="14"/>
    <x v="0"/>
    <x v="0"/>
    <n v="6861.7634193256"/>
    <n v="2535060.970368313"/>
  </r>
  <r>
    <x v="14"/>
    <x v="0"/>
    <x v="1"/>
    <n v="2349.6618"/>
    <n v="868076.5509882281"/>
  </r>
  <r>
    <x v="14"/>
    <x v="0"/>
    <x v="2"/>
    <n v="32.7616"/>
    <n v="12103.68944707529"/>
  </r>
  <r>
    <x v="14"/>
    <x v="0"/>
    <x v="3"/>
    <n v="543.5121"/>
    <n v="200799.1572184426"/>
  </r>
  <r>
    <x v="14"/>
    <x v="0"/>
    <x v="4"/>
    <n v="0.4507"/>
    <n v="166.5099639149746"/>
  </r>
  <r>
    <x v="14"/>
    <x v="0"/>
    <x v="5"/>
    <n v="911.2709193256001"/>
    <n v="336666.713764525"/>
  </r>
  <r>
    <x v="14"/>
    <x v="0"/>
    <x v="6"/>
    <m/>
    <n v="0"/>
  </r>
  <r>
    <x v="14"/>
    <x v="0"/>
    <x v="7"/>
    <m/>
    <n v="0"/>
  </r>
  <r>
    <x v="14"/>
    <x v="0"/>
    <x v="8"/>
    <m/>
    <n v="0"/>
  </r>
  <r>
    <x v="14"/>
    <x v="1"/>
    <x v="0"/>
    <n v="3466.9338"/>
    <n v="1280849.837882418"/>
  </r>
  <r>
    <x v="14"/>
    <x v="1"/>
    <x v="1"/>
    <n v="2349.6618"/>
    <n v="868076.5509882281"/>
  </r>
  <r>
    <x v="14"/>
    <x v="1"/>
    <x v="2"/>
    <n v="32.7616"/>
    <n v="12103.68944707529"/>
  </r>
  <r>
    <x v="14"/>
    <x v="1"/>
    <x v="3"/>
    <n v="543.5121"/>
    <n v="200799.1572184426"/>
  </r>
  <r>
    <x v="14"/>
    <x v="1"/>
    <x v="4"/>
    <n v="0.4507"/>
    <n v="166.5099639149746"/>
  </r>
  <r>
    <x v="14"/>
    <x v="1"/>
    <x v="5"/>
    <m/>
    <n v="0"/>
  </r>
  <r>
    <x v="14"/>
    <x v="1"/>
    <x v="6"/>
    <m/>
    <n v="0"/>
  </r>
  <r>
    <x v="14"/>
    <x v="1"/>
    <x v="7"/>
    <m/>
    <n v="0"/>
  </r>
  <r>
    <x v="14"/>
    <x v="1"/>
    <x v="8"/>
    <m/>
    <n v="0"/>
  </r>
  <r>
    <x v="14"/>
    <x v="2"/>
    <x v="0"/>
    <n v="775.2832000000001"/>
    <n v="775.2832000000001"/>
  </r>
  <r>
    <x v="14"/>
    <x v="2"/>
    <x v="1"/>
    <m/>
    <n v="0"/>
  </r>
  <r>
    <x v="14"/>
    <x v="2"/>
    <x v="2"/>
    <m/>
    <n v="0"/>
  </r>
  <r>
    <x v="14"/>
    <x v="2"/>
    <x v="3"/>
    <m/>
    <n v="0"/>
  </r>
  <r>
    <x v="14"/>
    <x v="2"/>
    <x v="4"/>
    <m/>
    <n v="0"/>
  </r>
  <r>
    <x v="14"/>
    <x v="2"/>
    <x v="5"/>
    <n v="150.6457"/>
    <n v="150.6457"/>
  </r>
  <r>
    <x v="14"/>
    <x v="2"/>
    <x v="6"/>
    <m/>
    <n v="0"/>
  </r>
  <r>
    <x v="14"/>
    <x v="2"/>
    <x v="7"/>
    <m/>
    <n v="0"/>
  </r>
  <r>
    <x v="14"/>
    <x v="2"/>
    <x v="8"/>
    <m/>
    <n v="0"/>
  </r>
  <r>
    <x v="14"/>
    <x v="4"/>
    <x v="0"/>
    <n v="58.7884"/>
    <n v="58.7884"/>
  </r>
  <r>
    <x v="14"/>
    <x v="4"/>
    <x v="1"/>
    <m/>
    <n v="0"/>
  </r>
  <r>
    <x v="14"/>
    <x v="4"/>
    <x v="2"/>
    <m/>
    <n v="0"/>
  </r>
  <r>
    <x v="14"/>
    <x v="4"/>
    <x v="3"/>
    <m/>
    <n v="0"/>
  </r>
  <r>
    <x v="14"/>
    <x v="4"/>
    <x v="4"/>
    <m/>
    <n v="0"/>
  </r>
  <r>
    <x v="14"/>
    <x v="4"/>
    <x v="5"/>
    <n v="58.7884"/>
    <n v="58.7884"/>
  </r>
  <r>
    <x v="14"/>
    <x v="4"/>
    <x v="6"/>
    <m/>
    <n v="0"/>
  </r>
  <r>
    <x v="14"/>
    <x v="4"/>
    <x v="7"/>
    <m/>
    <n v="0"/>
  </r>
  <r>
    <x v="14"/>
    <x v="4"/>
    <x v="8"/>
    <m/>
    <n v="0"/>
  </r>
  <r>
    <x v="15"/>
    <x v="0"/>
    <x v="0"/>
    <n v="6573.0954722058"/>
    <n v="1969907.122159899"/>
  </r>
  <r>
    <x v="15"/>
    <x v="0"/>
    <x v="1"/>
    <n v="2464.0964879"/>
    <n v="738471.1269946736"/>
  </r>
  <r>
    <x v="15"/>
    <x v="0"/>
    <x v="2"/>
    <n v="32.6701"/>
    <n v="9790.982489727807"/>
  </r>
  <r>
    <x v="15"/>
    <x v="0"/>
    <x v="3"/>
    <n v="381.1476"/>
    <n v="114227.0601437332"/>
  </r>
  <r>
    <x v="15"/>
    <x v="0"/>
    <x v="4"/>
    <m/>
    <n v="0"/>
  </r>
  <r>
    <x v="15"/>
    <x v="0"/>
    <x v="5"/>
    <n v="1049.2645259058"/>
    <n v="314456.6622151826"/>
  </r>
  <r>
    <x v="15"/>
    <x v="0"/>
    <x v="6"/>
    <m/>
    <n v="0"/>
  </r>
  <r>
    <x v="15"/>
    <x v="0"/>
    <x v="7"/>
    <m/>
    <n v="0"/>
  </r>
  <r>
    <x v="15"/>
    <x v="0"/>
    <x v="8"/>
    <m/>
    <n v="0"/>
  </r>
  <r>
    <x v="15"/>
    <x v="1"/>
    <x v="0"/>
    <n v="2874.3102"/>
    <n v="861409.0816448688"/>
  </r>
  <r>
    <x v="15"/>
    <x v="1"/>
    <x v="1"/>
    <n v="2457.9494"/>
    <n v="736628.8911278807"/>
  </r>
  <r>
    <x v="15"/>
    <x v="1"/>
    <x v="2"/>
    <n v="32.6701"/>
    <n v="9790.982489727807"/>
  </r>
  <r>
    <x v="15"/>
    <x v="1"/>
    <x v="3"/>
    <n v="381.1476"/>
    <n v="114227.0601437332"/>
  </r>
  <r>
    <x v="15"/>
    <x v="1"/>
    <x v="4"/>
    <m/>
    <n v="0"/>
  </r>
  <r>
    <x v="15"/>
    <x v="1"/>
    <x v="5"/>
    <m/>
    <n v="0"/>
  </r>
  <r>
    <x v="15"/>
    <x v="1"/>
    <x v="6"/>
    <m/>
    <n v="0"/>
  </r>
  <r>
    <x v="15"/>
    <x v="1"/>
    <x v="7"/>
    <m/>
    <n v="0"/>
  </r>
  <r>
    <x v="15"/>
    <x v="1"/>
    <x v="8"/>
    <m/>
    <n v="0"/>
  </r>
  <r>
    <x v="15"/>
    <x v="2"/>
    <x v="0"/>
    <n v="752.5825"/>
    <n v="752.5825"/>
  </r>
  <r>
    <x v="15"/>
    <x v="2"/>
    <x v="1"/>
    <n v="1.4359"/>
    <n v="1.4359"/>
  </r>
  <r>
    <x v="15"/>
    <x v="2"/>
    <x v="2"/>
    <m/>
    <n v="0"/>
  </r>
  <r>
    <x v="15"/>
    <x v="2"/>
    <x v="3"/>
    <m/>
    <n v="0"/>
  </r>
  <r>
    <x v="15"/>
    <x v="2"/>
    <x v="4"/>
    <m/>
    <n v="0"/>
  </r>
  <r>
    <x v="15"/>
    <x v="2"/>
    <x v="5"/>
    <n v="133.6802"/>
    <n v="133.6802"/>
  </r>
  <r>
    <x v="15"/>
    <x v="2"/>
    <x v="6"/>
    <m/>
    <n v="0"/>
  </r>
  <r>
    <x v="15"/>
    <x v="2"/>
    <x v="7"/>
    <m/>
    <n v="0"/>
  </r>
  <r>
    <x v="15"/>
    <x v="2"/>
    <x v="8"/>
    <m/>
    <n v="0"/>
  </r>
  <r>
    <x v="15"/>
    <x v="4"/>
    <x v="0"/>
    <n v="85.5177"/>
    <n v="85.5177"/>
  </r>
  <r>
    <x v="15"/>
    <x v="4"/>
    <x v="1"/>
    <m/>
    <n v="0"/>
  </r>
  <r>
    <x v="15"/>
    <x v="4"/>
    <x v="2"/>
    <m/>
    <n v="0"/>
  </r>
  <r>
    <x v="15"/>
    <x v="4"/>
    <x v="3"/>
    <m/>
    <n v="0"/>
  </r>
  <r>
    <x v="15"/>
    <x v="4"/>
    <x v="4"/>
    <m/>
    <n v="0"/>
  </r>
  <r>
    <x v="15"/>
    <x v="4"/>
    <x v="5"/>
    <n v="85.5177"/>
    <n v="85.5177"/>
  </r>
  <r>
    <x v="15"/>
    <x v="4"/>
    <x v="6"/>
    <m/>
    <n v="0"/>
  </r>
  <r>
    <x v="15"/>
    <x v="4"/>
    <x v="7"/>
    <m/>
    <n v="0"/>
  </r>
  <r>
    <x v="15"/>
    <x v="4"/>
    <x v="8"/>
    <m/>
    <n v="0"/>
  </r>
  <r>
    <x v="16"/>
    <x v="1"/>
    <x v="0"/>
    <n v="11269.585120904"/>
    <n v="2745726.718671539"/>
  </r>
  <r>
    <x v="16"/>
    <x v="1"/>
    <x v="1"/>
    <n v="4146.924304"/>
    <n v="1010358.477232728"/>
  </r>
  <r>
    <x v="16"/>
    <x v="1"/>
    <x v="2"/>
    <n v="32.611"/>
    <n v="7945.358508052595"/>
  </r>
  <r>
    <x v="16"/>
    <x v="1"/>
    <x v="3"/>
    <m/>
    <n v="0"/>
  </r>
  <r>
    <x v="16"/>
    <x v="1"/>
    <x v="4"/>
    <m/>
    <n v="0"/>
  </r>
  <r>
    <x v="16"/>
    <x v="1"/>
    <x v="5"/>
    <n v="1212.343202904"/>
    <n v="295375.8358183751"/>
  </r>
  <r>
    <x v="16"/>
    <x v="1"/>
    <x v="6"/>
    <m/>
    <n v="0"/>
  </r>
  <r>
    <x v="16"/>
    <x v="1"/>
    <x v="7"/>
    <n v="107.2273"/>
    <n v="26124.90694399154"/>
  </r>
  <r>
    <x v="16"/>
    <x v="1"/>
    <x v="8"/>
    <m/>
    <n v="0"/>
  </r>
  <r>
    <x v="16"/>
    <x v="0"/>
    <x v="0"/>
    <n v="4448.012099999999"/>
    <n v="1083715.641429453"/>
  </r>
  <r>
    <x v="16"/>
    <x v="0"/>
    <x v="1"/>
    <n v="4112.6065"/>
    <n v="1001997.272240882"/>
  </r>
  <r>
    <x v="16"/>
    <x v="0"/>
    <x v="2"/>
    <n v="32.611"/>
    <n v="7945.358508052595"/>
  </r>
  <r>
    <x v="16"/>
    <x v="0"/>
    <x v="3"/>
    <m/>
    <n v="0"/>
  </r>
  <r>
    <x v="16"/>
    <x v="0"/>
    <x v="4"/>
    <m/>
    <n v="0"/>
  </r>
  <r>
    <x v="16"/>
    <x v="0"/>
    <x v="5"/>
    <m/>
    <n v="0"/>
  </r>
  <r>
    <x v="16"/>
    <x v="0"/>
    <x v="6"/>
    <m/>
    <n v="0"/>
  </r>
  <r>
    <x v="16"/>
    <x v="0"/>
    <x v="7"/>
    <n v="107.2273"/>
    <n v="26124.90694399154"/>
  </r>
  <r>
    <x v="16"/>
    <x v="0"/>
    <x v="8"/>
    <m/>
    <n v="0"/>
  </r>
  <r>
    <x v="16"/>
    <x v="2"/>
    <x v="0"/>
    <n v="1257.4379"/>
    <n v="1257.4379"/>
  </r>
  <r>
    <x v="16"/>
    <x v="2"/>
    <x v="1"/>
    <n v="6.978"/>
    <n v="6.978"/>
  </r>
  <r>
    <x v="16"/>
    <x v="2"/>
    <x v="2"/>
    <m/>
    <n v="0"/>
  </r>
  <r>
    <x v="16"/>
    <x v="2"/>
    <x v="3"/>
    <m/>
    <n v="0"/>
  </r>
  <r>
    <x v="16"/>
    <x v="2"/>
    <x v="4"/>
    <m/>
    <n v="0"/>
  </r>
  <r>
    <x v="16"/>
    <x v="2"/>
    <x v="5"/>
    <n v="116.8869"/>
    <n v="116.8869"/>
  </r>
  <r>
    <x v="16"/>
    <x v="2"/>
    <x v="6"/>
    <m/>
    <n v="0"/>
  </r>
  <r>
    <x v="16"/>
    <x v="2"/>
    <x v="7"/>
    <m/>
    <n v="0"/>
  </r>
  <r>
    <x v="16"/>
    <x v="2"/>
    <x v="8"/>
    <m/>
    <n v="0"/>
  </r>
  <r>
    <x v="16"/>
    <x v="4"/>
    <x v="0"/>
    <n v="98.2004"/>
    <n v="98.2004"/>
  </r>
  <r>
    <x v="16"/>
    <x v="4"/>
    <x v="1"/>
    <m/>
    <n v="0"/>
  </r>
  <r>
    <x v="16"/>
    <x v="4"/>
    <x v="2"/>
    <m/>
    <n v="0"/>
  </r>
  <r>
    <x v="16"/>
    <x v="4"/>
    <x v="3"/>
    <m/>
    <n v="0"/>
  </r>
  <r>
    <x v="16"/>
    <x v="4"/>
    <x v="4"/>
    <m/>
    <n v="0"/>
  </r>
  <r>
    <x v="16"/>
    <x v="4"/>
    <x v="5"/>
    <n v="98.2004"/>
    <n v="98.2004"/>
  </r>
  <r>
    <x v="16"/>
    <x v="4"/>
    <x v="6"/>
    <m/>
    <n v="0"/>
  </r>
  <r>
    <x v="16"/>
    <x v="4"/>
    <x v="7"/>
    <m/>
    <n v="0"/>
  </r>
  <r>
    <x v="16"/>
    <x v="4"/>
    <x v="8"/>
    <m/>
    <n v="0"/>
  </r>
  <r>
    <x v="17"/>
    <x v="1"/>
    <x v="0"/>
    <n v="17227.3043945"/>
    <n v="3181102.332658313"/>
  </r>
  <r>
    <x v="17"/>
    <x v="1"/>
    <x v="1"/>
    <n v="5387.716885"/>
    <n v="994867.1224528804"/>
  </r>
  <r>
    <x v="17"/>
    <x v="1"/>
    <x v="2"/>
    <n v="32.7004"/>
    <n v="6038.281807574633"/>
  </r>
  <r>
    <x v="17"/>
    <x v="1"/>
    <x v="3"/>
    <m/>
    <n v="0"/>
  </r>
  <r>
    <x v="17"/>
    <x v="1"/>
    <x v="4"/>
    <m/>
    <n v="0"/>
  </r>
  <r>
    <x v="17"/>
    <x v="1"/>
    <x v="5"/>
    <n v="1543.3295595"/>
    <n v="284983.0216823348"/>
  </r>
  <r>
    <x v="17"/>
    <x v="1"/>
    <x v="6"/>
    <m/>
    <n v="0"/>
  </r>
  <r>
    <x v="17"/>
    <x v="1"/>
    <x v="7"/>
    <n v="50.4245"/>
    <n v="9311.119772420127"/>
  </r>
  <r>
    <x v="17"/>
    <x v="1"/>
    <x v="8"/>
    <m/>
    <n v="0"/>
  </r>
  <r>
    <x v="17"/>
    <x v="0"/>
    <x v="0"/>
    <n v="5537.6168"/>
    <n v="1022546.842875306"/>
  </r>
  <r>
    <x v="17"/>
    <x v="0"/>
    <x v="1"/>
    <n v="5352.538"/>
    <n v="988371.1767975899"/>
  </r>
  <r>
    <x v="17"/>
    <x v="0"/>
    <x v="2"/>
    <n v="32.7004"/>
    <n v="6038.281807574633"/>
  </r>
  <r>
    <x v="17"/>
    <x v="0"/>
    <x v="3"/>
    <m/>
    <n v="0"/>
  </r>
  <r>
    <x v="17"/>
    <x v="0"/>
    <x v="4"/>
    <m/>
    <n v="0"/>
  </r>
  <r>
    <x v="17"/>
    <x v="0"/>
    <x v="5"/>
    <m/>
    <n v="0"/>
  </r>
  <r>
    <x v="17"/>
    <x v="0"/>
    <x v="6"/>
    <m/>
    <n v="0"/>
  </r>
  <r>
    <x v="17"/>
    <x v="0"/>
    <x v="7"/>
    <n v="50.4245"/>
    <n v="9311.119772420127"/>
  </r>
  <r>
    <x v="17"/>
    <x v="0"/>
    <x v="8"/>
    <m/>
    <n v="0"/>
  </r>
  <r>
    <x v="17"/>
    <x v="2"/>
    <x v="0"/>
    <n v="1655.3117"/>
    <n v="1655.3117"/>
  </r>
  <r>
    <x v="17"/>
    <x v="2"/>
    <x v="1"/>
    <n v="5.3914"/>
    <n v="5.3914"/>
  </r>
  <r>
    <x v="17"/>
    <x v="2"/>
    <x v="2"/>
    <m/>
    <n v="0"/>
  </r>
  <r>
    <x v="17"/>
    <x v="2"/>
    <x v="3"/>
    <m/>
    <n v="0"/>
  </r>
  <r>
    <x v="17"/>
    <x v="2"/>
    <x v="4"/>
    <m/>
    <n v="0"/>
  </r>
  <r>
    <x v="17"/>
    <x v="2"/>
    <x v="5"/>
    <n v="100.3143"/>
    <n v="100.3143"/>
  </r>
  <r>
    <x v="17"/>
    <x v="2"/>
    <x v="6"/>
    <m/>
    <n v="0"/>
  </r>
  <r>
    <x v="17"/>
    <x v="2"/>
    <x v="7"/>
    <m/>
    <n v="0"/>
  </r>
  <r>
    <x v="17"/>
    <x v="2"/>
    <x v="8"/>
    <m/>
    <n v="0"/>
  </r>
  <r>
    <x v="17"/>
    <x v="4"/>
    <x v="0"/>
    <n v="98.0992"/>
    <n v="98.0992"/>
  </r>
  <r>
    <x v="17"/>
    <x v="4"/>
    <x v="1"/>
    <m/>
    <n v="0"/>
  </r>
  <r>
    <x v="17"/>
    <x v="4"/>
    <x v="2"/>
    <m/>
    <n v="0"/>
  </r>
  <r>
    <x v="17"/>
    <x v="4"/>
    <x v="3"/>
    <m/>
    <n v="0"/>
  </r>
  <r>
    <x v="17"/>
    <x v="4"/>
    <x v="4"/>
    <m/>
    <n v="0"/>
  </r>
  <r>
    <x v="17"/>
    <x v="4"/>
    <x v="5"/>
    <n v="98.0992"/>
    <n v="98.0992"/>
  </r>
  <r>
    <x v="17"/>
    <x v="4"/>
    <x v="6"/>
    <m/>
    <n v="0"/>
  </r>
  <r>
    <x v="17"/>
    <x v="4"/>
    <x v="7"/>
    <m/>
    <n v="0"/>
  </r>
  <r>
    <x v="17"/>
    <x v="4"/>
    <x v="8"/>
    <m/>
    <n v="0"/>
  </r>
  <r>
    <x v="18"/>
    <x v="0"/>
    <x v="0"/>
    <n v="26433.9254386"/>
    <n v="3511409.062847923"/>
  </r>
  <r>
    <x v="18"/>
    <x v="0"/>
    <x v="1"/>
    <n v="8020.386878"/>
    <n v="1065405.864005014"/>
  </r>
  <r>
    <x v="18"/>
    <x v="0"/>
    <x v="2"/>
    <n v="32.7549"/>
    <n v="4351.069725903294"/>
  </r>
  <r>
    <x v="18"/>
    <x v="0"/>
    <x v="3"/>
    <n v="441.4464"/>
    <n v="58640.51078308882"/>
  </r>
  <r>
    <x v="18"/>
    <x v="0"/>
    <x v="4"/>
    <m/>
    <n v="0"/>
  </r>
  <r>
    <x v="18"/>
    <x v="0"/>
    <x v="5"/>
    <n v="1725.1670066"/>
    <n v="229166.3822678277"/>
  </r>
  <r>
    <x v="18"/>
    <x v="0"/>
    <x v="6"/>
    <m/>
    <n v="0"/>
  </r>
  <r>
    <x v="18"/>
    <x v="0"/>
    <x v="7"/>
    <n v="15.721"/>
    <n v="2088.333872517568"/>
  </r>
  <r>
    <x v="18"/>
    <x v="0"/>
    <x v="8"/>
    <m/>
    <n v="0"/>
  </r>
  <r>
    <x v="18"/>
    <x v="1"/>
    <x v="0"/>
    <n v="8858.351199999999"/>
    <n v="1176718.711635179"/>
  </r>
  <r>
    <x v="18"/>
    <x v="1"/>
    <x v="1"/>
    <n v="7994.0669"/>
    <n v="1061909.591402679"/>
  </r>
  <r>
    <x v="18"/>
    <x v="1"/>
    <x v="2"/>
    <n v="32.7549"/>
    <n v="4351.069725903294"/>
  </r>
  <r>
    <x v="18"/>
    <x v="1"/>
    <x v="3"/>
    <n v="441.4464"/>
    <n v="58640.51078308882"/>
  </r>
  <r>
    <x v="18"/>
    <x v="1"/>
    <x v="4"/>
    <m/>
    <n v="0"/>
  </r>
  <r>
    <x v="18"/>
    <x v="1"/>
    <x v="5"/>
    <m/>
    <n v="0"/>
  </r>
  <r>
    <x v="18"/>
    <x v="1"/>
    <x v="6"/>
    <m/>
    <n v="0"/>
  </r>
  <r>
    <x v="18"/>
    <x v="1"/>
    <x v="7"/>
    <n v="15.721"/>
    <n v="2088.333872517568"/>
  </r>
  <r>
    <x v="18"/>
    <x v="1"/>
    <x v="8"/>
    <m/>
    <n v="0"/>
  </r>
  <r>
    <x v="18"/>
    <x v="2"/>
    <x v="0"/>
    <n v="1937.3886"/>
    <n v="1937.3886"/>
  </r>
  <r>
    <x v="18"/>
    <x v="2"/>
    <x v="1"/>
    <n v="3.078"/>
    <n v="3.078"/>
  </r>
  <r>
    <x v="18"/>
    <x v="2"/>
    <x v="2"/>
    <m/>
    <n v="0"/>
  </r>
  <r>
    <x v="18"/>
    <x v="2"/>
    <x v="3"/>
    <m/>
    <n v="0"/>
  </r>
  <r>
    <x v="18"/>
    <x v="2"/>
    <x v="4"/>
    <m/>
    <n v="0"/>
  </r>
  <r>
    <x v="18"/>
    <x v="2"/>
    <x v="5"/>
    <n v="83.75660000000001"/>
    <n v="83.75660000000001"/>
  </r>
  <r>
    <x v="18"/>
    <x v="2"/>
    <x v="6"/>
    <m/>
    <n v="0"/>
  </r>
  <r>
    <x v="18"/>
    <x v="2"/>
    <x v="7"/>
    <m/>
    <n v="0"/>
  </r>
  <r>
    <x v="18"/>
    <x v="2"/>
    <x v="8"/>
    <m/>
    <n v="0"/>
  </r>
  <r>
    <x v="18"/>
    <x v="4"/>
    <x v="0"/>
    <n v="97.0158"/>
    <n v="97.0158"/>
  </r>
  <r>
    <x v="18"/>
    <x v="4"/>
    <x v="1"/>
    <m/>
    <n v="0"/>
  </r>
  <r>
    <x v="18"/>
    <x v="4"/>
    <x v="2"/>
    <m/>
    <n v="0"/>
  </r>
  <r>
    <x v="18"/>
    <x v="4"/>
    <x v="3"/>
    <m/>
    <n v="0"/>
  </r>
  <r>
    <x v="18"/>
    <x v="4"/>
    <x v="4"/>
    <m/>
    <n v="0"/>
  </r>
  <r>
    <x v="18"/>
    <x v="4"/>
    <x v="5"/>
    <n v="97.0158"/>
    <n v="97.0158"/>
  </r>
  <r>
    <x v="18"/>
    <x v="4"/>
    <x v="6"/>
    <m/>
    <n v="0"/>
  </r>
  <r>
    <x v="18"/>
    <x v="4"/>
    <x v="7"/>
    <m/>
    <n v="0"/>
  </r>
  <r>
    <x v="18"/>
    <x v="4"/>
    <x v="8"/>
    <m/>
    <n v="0"/>
  </r>
  <r>
    <x v="19"/>
    <x v="0"/>
    <x v="0"/>
    <n v="42764.078473"/>
    <n v="4317631.950870745"/>
  </r>
  <r>
    <x v="19"/>
    <x v="0"/>
    <x v="1"/>
    <n v="9793.849600000001"/>
    <n v="988826.1238151309"/>
  </r>
  <r>
    <x v="19"/>
    <x v="0"/>
    <x v="2"/>
    <n v="32.83"/>
    <n v="3314.647760656927"/>
  </r>
  <r>
    <x v="19"/>
    <x v="0"/>
    <x v="3"/>
    <n v="2446.01"/>
    <n v="246958.9268670256"/>
  </r>
  <r>
    <x v="19"/>
    <x v="0"/>
    <x v="4"/>
    <n v="0"/>
    <n v="0"/>
  </r>
  <r>
    <x v="19"/>
    <x v="0"/>
    <x v="5"/>
    <n v="2587.404073"/>
    <n v="261234.6365057588"/>
  </r>
  <r>
    <x v="19"/>
    <x v="0"/>
    <x v="6"/>
    <n v="1712.5432"/>
    <n v="172905.192900038"/>
  </r>
  <r>
    <x v="19"/>
    <x v="0"/>
    <x v="7"/>
    <m/>
    <n v="0"/>
  </r>
  <r>
    <x v="19"/>
    <x v="0"/>
    <x v="8"/>
    <m/>
    <n v="0"/>
  </r>
  <r>
    <x v="19"/>
    <x v="1"/>
    <x v="0"/>
    <n v="13482.36"/>
    <n v="1361232.847467881"/>
  </r>
  <r>
    <x v="19"/>
    <x v="1"/>
    <x v="1"/>
    <n v="9787.460000000001"/>
    <n v="988181.0043106687"/>
  </r>
  <r>
    <x v="19"/>
    <x v="1"/>
    <x v="2"/>
    <n v="32.83"/>
    <n v="3314.647760656927"/>
  </r>
  <r>
    <x v="19"/>
    <x v="1"/>
    <x v="3"/>
    <n v="2446.01"/>
    <n v="246958.9268670256"/>
  </r>
  <r>
    <x v="19"/>
    <x v="1"/>
    <x v="4"/>
    <m/>
    <n v="0"/>
  </r>
  <r>
    <x v="19"/>
    <x v="1"/>
    <x v="5"/>
    <m/>
    <n v="0"/>
  </r>
  <r>
    <x v="19"/>
    <x v="1"/>
    <x v="6"/>
    <m/>
    <n v="0"/>
  </r>
  <r>
    <x v="19"/>
    <x v="1"/>
    <x v="7"/>
    <m/>
    <n v="0"/>
  </r>
  <r>
    <x v="19"/>
    <x v="1"/>
    <x v="8"/>
    <m/>
    <n v="0"/>
  </r>
  <r>
    <x v="19"/>
    <x v="2"/>
    <x v="0"/>
    <n v="2145.18"/>
    <n v="2145.18"/>
  </r>
  <r>
    <x v="19"/>
    <x v="2"/>
    <x v="1"/>
    <n v="0.49"/>
    <n v="0.49"/>
  </r>
  <r>
    <x v="19"/>
    <x v="2"/>
    <x v="2"/>
    <m/>
    <n v="0"/>
  </r>
  <r>
    <x v="19"/>
    <x v="2"/>
    <x v="3"/>
    <m/>
    <n v="0"/>
  </r>
  <r>
    <x v="19"/>
    <x v="2"/>
    <x v="4"/>
    <m/>
    <n v="0"/>
  </r>
  <r>
    <x v="19"/>
    <x v="2"/>
    <x v="5"/>
    <n v="98.06999999999999"/>
    <n v="98.06999999999999"/>
  </r>
  <r>
    <x v="19"/>
    <x v="2"/>
    <x v="6"/>
    <n v="131.33"/>
    <n v="131.33"/>
  </r>
  <r>
    <x v="19"/>
    <x v="2"/>
    <x v="7"/>
    <m/>
    <n v="0"/>
  </r>
  <r>
    <x v="19"/>
    <x v="2"/>
    <x v="8"/>
    <m/>
    <n v="0"/>
  </r>
  <r>
    <x v="19"/>
    <x v="4"/>
    <x v="0"/>
    <n v="92.09"/>
    <n v="92.09"/>
  </r>
  <r>
    <x v="19"/>
    <x v="4"/>
    <x v="1"/>
    <m/>
    <n v="0"/>
  </r>
  <r>
    <x v="19"/>
    <x v="4"/>
    <x v="2"/>
    <m/>
    <n v="0"/>
  </r>
  <r>
    <x v="19"/>
    <x v="4"/>
    <x v="3"/>
    <m/>
    <n v="0"/>
  </r>
  <r>
    <x v="19"/>
    <x v="4"/>
    <x v="4"/>
    <m/>
    <n v="0"/>
  </r>
  <r>
    <x v="19"/>
    <x v="4"/>
    <x v="5"/>
    <n v="92.09"/>
    <n v="92.09"/>
  </r>
  <r>
    <x v="19"/>
    <x v="4"/>
    <x v="6"/>
    <m/>
    <n v="0"/>
  </r>
  <r>
    <x v="19"/>
    <x v="4"/>
    <x v="7"/>
    <m/>
    <n v="0"/>
  </r>
  <r>
    <x v="19"/>
    <x v="4"/>
    <x v="8"/>
    <m/>
    <n v="0"/>
  </r>
  <r>
    <x v="20"/>
    <x v="0"/>
    <x v="0"/>
    <n v="71481.53397400002"/>
    <n v="5491246.570519604"/>
  </r>
  <r>
    <x v="20"/>
    <x v="0"/>
    <x v="1"/>
    <n v="21985.208076"/>
    <n v="1688914.489347789"/>
  </r>
  <r>
    <x v="20"/>
    <x v="0"/>
    <x v="2"/>
    <n v="32.8"/>
    <n v="2519.712120035861"/>
  </r>
  <r>
    <x v="20"/>
    <x v="0"/>
    <x v="3"/>
    <n v="2107.9"/>
    <n v="161929.9139580363"/>
  </r>
  <r>
    <x v="20"/>
    <x v="0"/>
    <x v="4"/>
    <m/>
    <n v="0"/>
  </r>
  <r>
    <x v="20"/>
    <x v="0"/>
    <x v="5"/>
    <n v="3904.2"/>
    <n v="299922.562775732"/>
  </r>
  <r>
    <x v="20"/>
    <x v="0"/>
    <x v="6"/>
    <n v="2060.8"/>
    <n v="158311.668810058"/>
  </r>
  <r>
    <x v="20"/>
    <x v="0"/>
    <x v="7"/>
    <m/>
    <n v="0"/>
  </r>
  <r>
    <x v="20"/>
    <x v="0"/>
    <x v="8"/>
    <n v="1960.35"/>
    <n v="150595.0504424481"/>
  </r>
  <r>
    <x v="20"/>
    <x v="1"/>
    <x v="0"/>
    <n v="30608.838"/>
    <n v="2351385.978317507"/>
  </r>
  <r>
    <x v="20"/>
    <x v="1"/>
    <x v="1"/>
    <n v="21982.85"/>
    <n v="1688733.340790559"/>
  </r>
  <r>
    <x v="20"/>
    <x v="1"/>
    <x v="2"/>
    <n v="32.8"/>
    <n v="2519.712120035861"/>
  </r>
  <r>
    <x v="20"/>
    <x v="1"/>
    <x v="3"/>
    <n v="2107.9"/>
    <n v="161929.9139580363"/>
  </r>
  <r>
    <x v="20"/>
    <x v="1"/>
    <x v="4"/>
    <m/>
    <n v="0"/>
  </r>
  <r>
    <x v="20"/>
    <x v="1"/>
    <x v="5"/>
    <m/>
    <n v="0"/>
  </r>
  <r>
    <x v="20"/>
    <x v="1"/>
    <x v="6"/>
    <n v="129.7"/>
    <n v="9963.617742946681"/>
  </r>
  <r>
    <x v="20"/>
    <x v="1"/>
    <x v="7"/>
    <m/>
    <n v="0"/>
  </r>
  <r>
    <x v="20"/>
    <x v="1"/>
    <x v="8"/>
    <n v="1960.35"/>
    <n v="150595.0504424481"/>
  </r>
  <r>
    <x v="20"/>
    <x v="2"/>
    <x v="0"/>
    <n v="2368.0966"/>
    <n v="2368.0966"/>
  </r>
  <r>
    <x v="20"/>
    <x v="2"/>
    <x v="1"/>
    <n v="0.1484"/>
    <n v="0.1484"/>
  </r>
  <r>
    <x v="20"/>
    <x v="2"/>
    <x v="2"/>
    <m/>
    <n v="0"/>
  </r>
  <r>
    <x v="20"/>
    <x v="2"/>
    <x v="3"/>
    <m/>
    <n v="0"/>
  </r>
  <r>
    <x v="20"/>
    <x v="2"/>
    <x v="4"/>
    <m/>
    <n v="0"/>
  </r>
  <r>
    <x v="20"/>
    <x v="2"/>
    <x v="5"/>
    <n v="163.1"/>
    <n v="163.1"/>
  </r>
  <r>
    <x v="20"/>
    <x v="2"/>
    <x v="6"/>
    <m/>
    <n v="0"/>
  </r>
  <r>
    <x v="20"/>
    <x v="2"/>
    <x v="7"/>
    <m/>
    <n v="0"/>
  </r>
  <r>
    <x v="20"/>
    <x v="2"/>
    <x v="8"/>
    <m/>
    <n v="0"/>
  </r>
  <r>
    <x v="20"/>
    <x v="4"/>
    <x v="0"/>
    <n v="78.3"/>
    <n v="78.3"/>
  </r>
  <r>
    <x v="20"/>
    <x v="4"/>
    <x v="1"/>
    <m/>
    <n v="0"/>
  </r>
  <r>
    <x v="20"/>
    <x v="4"/>
    <x v="2"/>
    <m/>
    <n v="0"/>
  </r>
  <r>
    <x v="20"/>
    <x v="4"/>
    <x v="3"/>
    <m/>
    <n v="0"/>
  </r>
  <r>
    <x v="20"/>
    <x v="4"/>
    <x v="4"/>
    <m/>
    <n v="0"/>
  </r>
  <r>
    <x v="20"/>
    <x v="4"/>
    <x v="5"/>
    <n v="78.3"/>
    <n v="78.3"/>
  </r>
  <r>
    <x v="20"/>
    <x v="4"/>
    <x v="6"/>
    <m/>
    <n v="0"/>
  </r>
  <r>
    <x v="20"/>
    <x v="4"/>
    <x v="7"/>
    <m/>
    <n v="0"/>
  </r>
  <r>
    <x v="20"/>
    <x v="4"/>
    <x v="8"/>
    <m/>
    <n v="0"/>
  </r>
  <r>
    <x v="21"/>
    <x v="0"/>
    <x v="0"/>
    <n v="94209.94008099999"/>
    <n v="5787988.005252968"/>
  </r>
  <r>
    <x v="21"/>
    <x v="0"/>
    <x v="1"/>
    <n v="24439.0599"/>
    <n v="1501465.614342182"/>
  </r>
  <r>
    <x v="21"/>
    <x v="0"/>
    <x v="2"/>
    <n v="32.8"/>
    <n v="2015.137748830656"/>
  </r>
  <r>
    <x v="21"/>
    <x v="0"/>
    <x v="3"/>
    <n v="3916.4239"/>
    <n v="240613.8305278225"/>
  </r>
  <r>
    <x v="21"/>
    <x v="0"/>
    <x v="4"/>
    <m/>
    <n v="0"/>
  </r>
  <r>
    <x v="21"/>
    <x v="0"/>
    <x v="5"/>
    <n v="6335.5826"/>
    <n v="389239.9895760572"/>
  </r>
  <r>
    <x v="21"/>
    <x v="0"/>
    <x v="6"/>
    <n v="3943.685381"/>
    <n v="242288.6975842899"/>
  </r>
  <r>
    <x v="21"/>
    <x v="0"/>
    <x v="7"/>
    <m/>
    <n v="0"/>
  </r>
  <r>
    <x v="21"/>
    <x v="0"/>
    <x v="8"/>
    <n v="3284.1278"/>
    <n v="201767.3750537859"/>
  </r>
  <r>
    <x v="21"/>
    <x v="1"/>
    <x v="0"/>
    <n v="54820.3806"/>
    <n v="3368006.657083042"/>
  </r>
  <r>
    <x v="21"/>
    <x v="1"/>
    <x v="1"/>
    <n v="24439.0599"/>
    <n v="1501465.614342182"/>
  </r>
  <r>
    <x v="21"/>
    <x v="1"/>
    <x v="2"/>
    <n v="32.8"/>
    <n v="2015.137748830656"/>
  </r>
  <r>
    <x v="21"/>
    <x v="1"/>
    <x v="3"/>
    <n v="3916.4239"/>
    <n v="240613.8305278225"/>
  </r>
  <r>
    <x v="21"/>
    <x v="1"/>
    <x v="4"/>
    <m/>
    <n v="0"/>
  </r>
  <r>
    <x v="21"/>
    <x v="1"/>
    <x v="5"/>
    <n v="888.7029"/>
    <n v="54599.35247820963"/>
  </r>
  <r>
    <x v="21"/>
    <x v="1"/>
    <x v="6"/>
    <m/>
    <n v="0"/>
  </r>
  <r>
    <x v="21"/>
    <x v="1"/>
    <x v="7"/>
    <m/>
    <n v="0"/>
  </r>
  <r>
    <x v="21"/>
    <x v="1"/>
    <x v="8"/>
    <n v="3284.1278"/>
    <n v="201767.3750537859"/>
  </r>
  <r>
    <x v="21"/>
    <x v="2"/>
    <x v="0"/>
    <n v="2043.4387"/>
    <n v="2043.4387"/>
  </r>
  <r>
    <x v="21"/>
    <x v="2"/>
    <x v="1"/>
    <m/>
    <n v="0"/>
  </r>
  <r>
    <x v="21"/>
    <x v="2"/>
    <x v="2"/>
    <m/>
    <n v="0"/>
  </r>
  <r>
    <x v="21"/>
    <x v="2"/>
    <x v="3"/>
    <m/>
    <n v="0"/>
  </r>
  <r>
    <x v="21"/>
    <x v="2"/>
    <x v="4"/>
    <m/>
    <n v="0"/>
  </r>
  <r>
    <x v="21"/>
    <x v="2"/>
    <x v="5"/>
    <n v="223.4101"/>
    <n v="223.4101"/>
  </r>
  <r>
    <x v="21"/>
    <x v="2"/>
    <x v="6"/>
    <n v="211.469"/>
    <n v="211.469"/>
  </r>
  <r>
    <x v="21"/>
    <x v="2"/>
    <x v="7"/>
    <m/>
    <n v="0"/>
  </r>
  <r>
    <x v="21"/>
    <x v="2"/>
    <x v="8"/>
    <m/>
    <n v="0"/>
  </r>
  <r>
    <x v="21"/>
    <x v="4"/>
    <x v="0"/>
    <n v="57.0388"/>
    <n v="57.0388"/>
  </r>
  <r>
    <x v="21"/>
    <x v="4"/>
    <x v="1"/>
    <m/>
    <n v="0"/>
  </r>
  <r>
    <x v="21"/>
    <x v="4"/>
    <x v="2"/>
    <m/>
    <n v="0"/>
  </r>
  <r>
    <x v="21"/>
    <x v="4"/>
    <x v="3"/>
    <m/>
    <n v="0"/>
  </r>
  <r>
    <x v="21"/>
    <x v="4"/>
    <x v="4"/>
    <m/>
    <n v="0"/>
  </r>
  <r>
    <x v="21"/>
    <x v="4"/>
    <x v="5"/>
    <n v="57.0388"/>
    <n v="57.0388"/>
  </r>
  <r>
    <x v="21"/>
    <x v="4"/>
    <x v="6"/>
    <m/>
    <n v="0"/>
  </r>
  <r>
    <x v="21"/>
    <x v="4"/>
    <x v="7"/>
    <m/>
    <n v="0"/>
  </r>
  <r>
    <x v="21"/>
    <x v="4"/>
    <x v="8"/>
    <m/>
    <n v="0"/>
  </r>
  <r>
    <x v="22"/>
    <x v="0"/>
    <x v="0"/>
    <n v="146236.786368"/>
    <n v="6107479.526525505"/>
  </r>
  <r>
    <x v="22"/>
    <x v="0"/>
    <x v="1"/>
    <n v="33107.785"/>
    <n v="1382724.033248828"/>
  </r>
  <r>
    <x v="22"/>
    <x v="0"/>
    <x v="2"/>
    <n v="32.9536"/>
    <n v="1376.28460200731"/>
  </r>
  <r>
    <x v="22"/>
    <x v="0"/>
    <x v="3"/>
    <m/>
    <n v="0"/>
  </r>
  <r>
    <x v="22"/>
    <x v="0"/>
    <x v="4"/>
    <n v="1588.367468"/>
    <n v="66337.0827022765"/>
  </r>
  <r>
    <x v="22"/>
    <x v="0"/>
    <x v="5"/>
    <n v="15039.0281"/>
    <n v="628094.7393664198"/>
  </r>
  <r>
    <x v="22"/>
    <x v="0"/>
    <x v="6"/>
    <n v="7987.725200000001"/>
    <n v="333601.8886502768"/>
  </r>
  <r>
    <x v="22"/>
    <x v="0"/>
    <x v="7"/>
    <m/>
    <n v="0"/>
  </r>
  <r>
    <x v="22"/>
    <x v="0"/>
    <x v="8"/>
    <n v="4879.626"/>
    <n v="203794.2478926285"/>
  </r>
  <r>
    <x v="22"/>
    <x v="1"/>
    <x v="0"/>
    <n v="67192.66129999999"/>
    <n v="2806255.617446424"/>
  </r>
  <r>
    <x v="22"/>
    <x v="1"/>
    <x v="1"/>
    <n v="33063.0315"/>
    <n v="1380854.933880749"/>
  </r>
  <r>
    <x v="22"/>
    <x v="1"/>
    <x v="2"/>
    <n v="32.9536"/>
    <n v="1376.28460200731"/>
  </r>
  <r>
    <x v="22"/>
    <x v="1"/>
    <x v="3"/>
    <m/>
    <n v="0"/>
  </r>
  <r>
    <x v="22"/>
    <x v="1"/>
    <x v="4"/>
    <m/>
    <n v="0"/>
  </r>
  <r>
    <x v="22"/>
    <x v="1"/>
    <x v="5"/>
    <n v="912.6879"/>
    <n v="38117.78692490009"/>
  </r>
  <r>
    <x v="22"/>
    <x v="1"/>
    <x v="6"/>
    <m/>
    <n v="0"/>
  </r>
  <r>
    <x v="22"/>
    <x v="1"/>
    <x v="7"/>
    <m/>
    <n v="0"/>
  </r>
  <r>
    <x v="22"/>
    <x v="1"/>
    <x v="8"/>
    <n v="4879.626"/>
    <n v="203794.2478926285"/>
  </r>
  <r>
    <x v="22"/>
    <x v="2"/>
    <x v="0"/>
    <n v="2021.92059"/>
    <n v="2021.92059"/>
  </r>
  <r>
    <x v="22"/>
    <x v="2"/>
    <x v="1"/>
    <n v="1.18663"/>
    <n v="1.18663"/>
  </r>
  <r>
    <x v="22"/>
    <x v="2"/>
    <x v="2"/>
    <m/>
    <n v="0"/>
  </r>
  <r>
    <x v="22"/>
    <x v="2"/>
    <x v="3"/>
    <m/>
    <n v="0"/>
  </r>
  <r>
    <x v="22"/>
    <x v="2"/>
    <x v="4"/>
    <n v="6.04966"/>
    <n v="6.04966"/>
  </r>
  <r>
    <x v="22"/>
    <x v="2"/>
    <x v="5"/>
    <n v="335.9978"/>
    <n v="335.9978"/>
  </r>
  <r>
    <x v="22"/>
    <x v="2"/>
    <x v="6"/>
    <n v="211.876"/>
    <n v="211.876"/>
  </r>
  <r>
    <x v="22"/>
    <x v="2"/>
    <x v="7"/>
    <m/>
    <n v="0"/>
  </r>
  <r>
    <x v="22"/>
    <x v="2"/>
    <x v="8"/>
    <m/>
    <n v="0"/>
  </r>
  <r>
    <x v="22"/>
    <x v="4"/>
    <x v="0"/>
    <n v="33.8075"/>
    <n v="33.8075"/>
  </r>
  <r>
    <x v="22"/>
    <x v="4"/>
    <x v="1"/>
    <m/>
    <n v="0"/>
  </r>
  <r>
    <x v="22"/>
    <x v="4"/>
    <x v="2"/>
    <m/>
    <n v="0"/>
  </r>
  <r>
    <x v="22"/>
    <x v="4"/>
    <x v="3"/>
    <m/>
    <n v="0"/>
  </r>
  <r>
    <x v="22"/>
    <x v="4"/>
    <x v="4"/>
    <m/>
    <n v="0"/>
  </r>
  <r>
    <x v="22"/>
    <x v="4"/>
    <x v="5"/>
    <n v="33.8075"/>
    <n v="33.8075"/>
  </r>
  <r>
    <x v="22"/>
    <x v="4"/>
    <x v="6"/>
    <m/>
    <n v="0"/>
  </r>
  <r>
    <x v="22"/>
    <x v="4"/>
    <x v="7"/>
    <m/>
    <n v="0"/>
  </r>
  <r>
    <x v="22"/>
    <x v="4"/>
    <x v="8"/>
    <m/>
    <n v="0"/>
  </r>
  <r>
    <x v="22"/>
    <x v="5"/>
    <x v="0"/>
    <n v="43.7958"/>
    <n v="43.7958"/>
  </r>
  <r>
    <x v="22"/>
    <x v="5"/>
    <x v="1"/>
    <m/>
    <n v="0"/>
  </r>
  <r>
    <x v="22"/>
    <x v="5"/>
    <x v="2"/>
    <m/>
    <n v="0"/>
  </r>
  <r>
    <x v="22"/>
    <x v="5"/>
    <x v="3"/>
    <m/>
    <n v="0"/>
  </r>
  <r>
    <x v="22"/>
    <x v="5"/>
    <x v="4"/>
    <n v="43.7958"/>
    <n v="43.7958"/>
  </r>
  <r>
    <x v="22"/>
    <x v="5"/>
    <x v="5"/>
    <m/>
    <n v="0"/>
  </r>
  <r>
    <x v="22"/>
    <x v="5"/>
    <x v="6"/>
    <m/>
    <n v="0"/>
  </r>
  <r>
    <x v="22"/>
    <x v="5"/>
    <x v="7"/>
    <m/>
    <n v="0"/>
  </r>
  <r>
    <x v="22"/>
    <x v="5"/>
    <x v="8"/>
    <m/>
    <n v="0"/>
  </r>
  <r>
    <x v="23"/>
    <x v="0"/>
    <x v="0"/>
    <n v="226096.417675"/>
    <n v="6138344.310462363"/>
  </r>
  <r>
    <x v="23"/>
    <x v="0"/>
    <x v="1"/>
    <n v="43502.43257"/>
    <n v="1181057.675319632"/>
  </r>
  <r>
    <x v="23"/>
    <x v="0"/>
    <x v="2"/>
    <n v="32.9536"/>
    <n v="894.6649626267792"/>
  </r>
  <r>
    <x v="23"/>
    <x v="0"/>
    <x v="3"/>
    <m/>
    <n v="0"/>
  </r>
  <r>
    <x v="23"/>
    <x v="0"/>
    <x v="4"/>
    <n v="1538.1574"/>
    <n v="41759.79355169401"/>
  </r>
  <r>
    <x v="23"/>
    <x v="0"/>
    <x v="5"/>
    <n v="38754.107734"/>
    <n v="1052144.298270091"/>
  </r>
  <r>
    <x v="23"/>
    <x v="0"/>
    <x v="6"/>
    <n v="11654.659879"/>
    <n v="316415.0758968173"/>
  </r>
  <r>
    <x v="23"/>
    <x v="0"/>
    <x v="7"/>
    <m/>
    <n v="0"/>
  </r>
  <r>
    <x v="23"/>
    <x v="0"/>
    <x v="8"/>
    <n v="7766.6479"/>
    <n v="210858.5330036431"/>
  </r>
  <r>
    <x v="23"/>
    <x v="1"/>
    <x v="0"/>
    <n v="99971.78389999999"/>
    <n v="2714157.248574539"/>
  </r>
  <r>
    <x v="23"/>
    <x v="1"/>
    <x v="1"/>
    <n v="43464.5338"/>
    <n v="1180028.752784745"/>
  </r>
  <r>
    <x v="23"/>
    <x v="1"/>
    <x v="2"/>
    <n v="32.9536"/>
    <n v="894.6649626267792"/>
  </r>
  <r>
    <x v="23"/>
    <x v="1"/>
    <x v="3"/>
    <m/>
    <n v="0"/>
  </r>
  <r>
    <x v="23"/>
    <x v="1"/>
    <x v="4"/>
    <m/>
    <n v="0"/>
  </r>
  <r>
    <x v="23"/>
    <x v="1"/>
    <x v="5"/>
    <n v="924.687"/>
    <n v="25104.54276001616"/>
  </r>
  <r>
    <x v="23"/>
    <x v="1"/>
    <x v="6"/>
    <m/>
    <n v="0"/>
  </r>
  <r>
    <x v="23"/>
    <x v="1"/>
    <x v="7"/>
    <m/>
    <n v="0"/>
  </r>
  <r>
    <x v="23"/>
    <x v="1"/>
    <x v="8"/>
    <n v="7766.6479"/>
    <n v="210858.5330036431"/>
  </r>
  <r>
    <x v="23"/>
    <x v="2"/>
    <x v="0"/>
    <n v="2064.4822"/>
    <n v="2064.4822"/>
  </r>
  <r>
    <x v="23"/>
    <x v="2"/>
    <x v="1"/>
    <n v="0.6193"/>
    <n v="0.6193"/>
  </r>
  <r>
    <x v="23"/>
    <x v="2"/>
    <x v="2"/>
    <m/>
    <n v="0"/>
  </r>
  <r>
    <x v="23"/>
    <x v="2"/>
    <x v="3"/>
    <m/>
    <n v="0"/>
  </r>
  <r>
    <x v="23"/>
    <x v="2"/>
    <x v="4"/>
    <m/>
    <n v="0"/>
  </r>
  <r>
    <x v="23"/>
    <x v="2"/>
    <x v="5"/>
    <n v="615.889"/>
    <n v="615.889"/>
  </r>
  <r>
    <x v="23"/>
    <x v="2"/>
    <x v="6"/>
    <n v="194.6011"/>
    <n v="194.6011"/>
  </r>
  <r>
    <x v="23"/>
    <x v="2"/>
    <x v="7"/>
    <m/>
    <n v="0"/>
  </r>
  <r>
    <x v="23"/>
    <x v="2"/>
    <x v="8"/>
    <m/>
    <n v="0"/>
  </r>
  <r>
    <x v="23"/>
    <x v="4"/>
    <x v="0"/>
    <n v="14.0388"/>
    <n v="14.0388"/>
  </r>
  <r>
    <x v="23"/>
    <x v="4"/>
    <x v="1"/>
    <m/>
    <n v="0"/>
  </r>
  <r>
    <x v="23"/>
    <x v="4"/>
    <x v="2"/>
    <m/>
    <n v="0"/>
  </r>
  <r>
    <x v="23"/>
    <x v="4"/>
    <x v="3"/>
    <m/>
    <n v="0"/>
  </r>
  <r>
    <x v="23"/>
    <x v="4"/>
    <x v="4"/>
    <m/>
    <n v="0"/>
  </r>
  <r>
    <x v="23"/>
    <x v="4"/>
    <x v="5"/>
    <n v="14.0388"/>
    <n v="14.0388"/>
  </r>
  <r>
    <x v="23"/>
    <x v="4"/>
    <x v="6"/>
    <m/>
    <n v="0"/>
  </r>
  <r>
    <x v="23"/>
    <x v="4"/>
    <x v="7"/>
    <m/>
    <n v="0"/>
  </r>
  <r>
    <x v="23"/>
    <x v="4"/>
    <x v="8"/>
    <m/>
    <n v="0"/>
  </r>
  <r>
    <x v="23"/>
    <x v="5"/>
    <x v="0"/>
    <n v="32.6"/>
    <n v="32.6"/>
  </r>
  <r>
    <x v="23"/>
    <x v="5"/>
    <x v="1"/>
    <m/>
    <n v="0"/>
  </r>
  <r>
    <x v="23"/>
    <x v="5"/>
    <x v="2"/>
    <m/>
    <n v="0"/>
  </r>
  <r>
    <x v="23"/>
    <x v="5"/>
    <x v="3"/>
    <m/>
    <n v="0"/>
  </r>
  <r>
    <x v="23"/>
    <x v="5"/>
    <x v="4"/>
    <n v="32.6157"/>
    <n v="32.6157"/>
  </r>
  <r>
    <x v="23"/>
    <x v="5"/>
    <x v="5"/>
    <m/>
    <n v="0"/>
  </r>
  <r>
    <x v="23"/>
    <x v="5"/>
    <x v="6"/>
    <m/>
    <n v="0"/>
  </r>
  <r>
    <x v="23"/>
    <x v="5"/>
    <x v="7"/>
    <m/>
    <n v="0"/>
  </r>
  <r>
    <x v="23"/>
    <x v="5"/>
    <x v="8"/>
    <m/>
    <n v="0"/>
  </r>
  <r>
    <x v="24"/>
    <x v="0"/>
    <x v="0"/>
    <n v="324857.847785"/>
    <n v="6478333.55487543"/>
  </r>
  <r>
    <x v="24"/>
    <x v="0"/>
    <x v="1"/>
    <n v="61308.9274"/>
    <n v="1222626.094142279"/>
  </r>
  <r>
    <x v="24"/>
    <x v="0"/>
    <x v="2"/>
    <m/>
    <n v="0"/>
  </r>
  <r>
    <x v="24"/>
    <x v="0"/>
    <x v="3"/>
    <m/>
    <n v="0"/>
  </r>
  <r>
    <x v="24"/>
    <x v="0"/>
    <x v="4"/>
    <n v="1986.75"/>
    <n v="39619.88075063231"/>
  </r>
  <r>
    <x v="24"/>
    <x v="0"/>
    <x v="5"/>
    <n v="60431.68885500001"/>
    <n v="1205132.15351424"/>
  </r>
  <r>
    <x v="24"/>
    <x v="0"/>
    <x v="6"/>
    <n v="15039.67509"/>
    <n v="299922.0503808004"/>
  </r>
  <r>
    <x v="24"/>
    <x v="0"/>
    <x v="7"/>
    <m/>
    <n v="0"/>
  </r>
  <r>
    <x v="24"/>
    <x v="0"/>
    <x v="8"/>
    <n v="7939.8011"/>
    <n v="158335.962131994"/>
  </r>
  <r>
    <x v="24"/>
    <x v="1"/>
    <x v="0"/>
    <n v="158134.0172"/>
    <n v="3153517.505515258"/>
  </r>
  <r>
    <x v="24"/>
    <x v="1"/>
    <x v="1"/>
    <n v="61308.9274"/>
    <n v="1222626.094142279"/>
  </r>
  <r>
    <x v="24"/>
    <x v="1"/>
    <x v="2"/>
    <m/>
    <n v="0"/>
  </r>
  <r>
    <x v="24"/>
    <x v="1"/>
    <x v="3"/>
    <m/>
    <n v="0"/>
  </r>
  <r>
    <x v="24"/>
    <x v="1"/>
    <x v="4"/>
    <m/>
    <n v="0"/>
  </r>
  <r>
    <x v="24"/>
    <x v="1"/>
    <x v="5"/>
    <n v="897.1038"/>
    <n v="17890.09466562934"/>
  </r>
  <r>
    <x v="24"/>
    <x v="1"/>
    <x v="6"/>
    <m/>
    <n v="0"/>
  </r>
  <r>
    <x v="24"/>
    <x v="1"/>
    <x v="7"/>
    <m/>
    <n v="0"/>
  </r>
  <r>
    <x v="24"/>
    <x v="1"/>
    <x v="8"/>
    <n v="7939.8011"/>
    <n v="158335.962131994"/>
  </r>
  <r>
    <x v="24"/>
    <x v="2"/>
    <x v="0"/>
    <n v="1957.6599"/>
    <n v="1957.6599"/>
  </r>
  <r>
    <x v="24"/>
    <x v="2"/>
    <x v="1"/>
    <m/>
    <n v="0"/>
  </r>
  <r>
    <x v="24"/>
    <x v="2"/>
    <x v="2"/>
    <m/>
    <n v="0"/>
  </r>
  <r>
    <x v="24"/>
    <x v="2"/>
    <x v="3"/>
    <m/>
    <n v="0"/>
  </r>
  <r>
    <x v="24"/>
    <x v="2"/>
    <x v="4"/>
    <m/>
    <n v="0"/>
  </r>
  <r>
    <x v="24"/>
    <x v="2"/>
    <x v="5"/>
    <n v="707.4817"/>
    <n v="707.4817"/>
  </r>
  <r>
    <x v="24"/>
    <x v="2"/>
    <x v="6"/>
    <n v="178.7246"/>
    <n v="178.7246"/>
  </r>
  <r>
    <x v="24"/>
    <x v="2"/>
    <x v="7"/>
    <m/>
    <n v="0"/>
  </r>
  <r>
    <x v="24"/>
    <x v="2"/>
    <x v="8"/>
    <m/>
    <n v="0"/>
  </r>
  <r>
    <x v="24"/>
    <x v="4"/>
    <x v="0"/>
    <m/>
    <n v="0"/>
  </r>
  <r>
    <x v="24"/>
    <x v="4"/>
    <x v="1"/>
    <m/>
    <n v="0"/>
  </r>
  <r>
    <x v="24"/>
    <x v="4"/>
    <x v="2"/>
    <m/>
    <n v="0"/>
  </r>
  <r>
    <x v="24"/>
    <x v="4"/>
    <x v="3"/>
    <m/>
    <n v="0"/>
  </r>
  <r>
    <x v="24"/>
    <x v="4"/>
    <x v="4"/>
    <m/>
    <n v="0"/>
  </r>
  <r>
    <x v="24"/>
    <x v="4"/>
    <x v="5"/>
    <m/>
    <n v="0"/>
  </r>
  <r>
    <x v="24"/>
    <x v="4"/>
    <x v="6"/>
    <m/>
    <n v="0"/>
  </r>
  <r>
    <x v="24"/>
    <x v="4"/>
    <x v="7"/>
    <m/>
    <n v="0"/>
  </r>
  <r>
    <x v="24"/>
    <x v="4"/>
    <x v="8"/>
    <m/>
    <n v="0"/>
  </r>
  <r>
    <x v="24"/>
    <x v="5"/>
    <x v="0"/>
    <n v="30.8885"/>
    <n v="30.8885"/>
  </r>
  <r>
    <x v="24"/>
    <x v="5"/>
    <x v="1"/>
    <m/>
    <n v="0"/>
  </r>
  <r>
    <x v="24"/>
    <x v="5"/>
    <x v="2"/>
    <m/>
    <n v="0"/>
  </r>
  <r>
    <x v="24"/>
    <x v="5"/>
    <x v="3"/>
    <m/>
    <n v="0"/>
  </r>
  <r>
    <x v="24"/>
    <x v="5"/>
    <x v="4"/>
    <n v="30.8885"/>
    <n v="30.8885"/>
  </r>
  <r>
    <x v="24"/>
    <x v="5"/>
    <x v="5"/>
    <m/>
    <n v="0"/>
  </r>
  <r>
    <x v="24"/>
    <x v="5"/>
    <x v="6"/>
    <m/>
    <n v="0"/>
  </r>
  <r>
    <x v="24"/>
    <x v="5"/>
    <x v="7"/>
    <m/>
    <n v="0"/>
  </r>
  <r>
    <x v="24"/>
    <x v="5"/>
    <x v="8"/>
    <m/>
    <n v="0"/>
  </r>
  <r>
    <x v="25"/>
    <x v="0"/>
    <x v="0"/>
    <n v="271752.91561"/>
    <n v="3590336.125169985"/>
  </r>
  <r>
    <x v="25"/>
    <x v="0"/>
    <x v="1"/>
    <m/>
    <n v="0"/>
  </r>
  <r>
    <x v="25"/>
    <x v="0"/>
    <x v="2"/>
    <m/>
    <n v="0"/>
  </r>
  <r>
    <x v="25"/>
    <x v="0"/>
    <x v="3"/>
    <m/>
    <n v="0"/>
  </r>
  <r>
    <x v="25"/>
    <x v="0"/>
    <x v="4"/>
    <n v="2858.11561"/>
    <n v="37760.7566839207"/>
  </r>
  <r>
    <x v="25"/>
    <x v="0"/>
    <x v="5"/>
    <n v="65295.3"/>
    <n v="862666.2711882419"/>
  </r>
  <r>
    <x v="25"/>
    <x v="0"/>
    <x v="6"/>
    <m/>
    <n v="0"/>
  </r>
  <r>
    <x v="25"/>
    <x v="0"/>
    <x v="7"/>
    <m/>
    <n v="0"/>
  </r>
  <r>
    <x v="25"/>
    <x v="0"/>
    <x v="8"/>
    <n v="7608.2"/>
    <n v="100517.7635213313"/>
  </r>
  <r>
    <x v="25"/>
    <x v="1"/>
    <x v="0"/>
    <n v="108562.8"/>
    <n v="1434306.38753103"/>
  </r>
  <r>
    <x v="25"/>
    <x v="1"/>
    <x v="1"/>
    <m/>
    <n v="0"/>
  </r>
  <r>
    <x v="25"/>
    <x v="1"/>
    <x v="2"/>
    <m/>
    <n v="0"/>
  </r>
  <r>
    <x v="25"/>
    <x v="1"/>
    <x v="3"/>
    <m/>
    <n v="0"/>
  </r>
  <r>
    <x v="25"/>
    <x v="1"/>
    <x v="4"/>
    <m/>
    <n v="0"/>
  </r>
  <r>
    <x v="25"/>
    <x v="1"/>
    <x v="5"/>
    <n v="860.8"/>
    <n v="11372.68878830235"/>
  </r>
  <r>
    <x v="25"/>
    <x v="1"/>
    <x v="6"/>
    <m/>
    <n v="0"/>
  </r>
  <r>
    <x v="25"/>
    <x v="1"/>
    <x v="7"/>
    <m/>
    <n v="0"/>
  </r>
  <r>
    <x v="25"/>
    <x v="1"/>
    <x v="8"/>
    <n v="7608.2"/>
    <n v="100517.7635213313"/>
  </r>
  <r>
    <x v="25"/>
    <x v="2"/>
    <x v="0"/>
    <n v="1488"/>
    <n v="1488"/>
  </r>
  <r>
    <x v="25"/>
    <x v="2"/>
    <x v="1"/>
    <m/>
    <n v="0"/>
  </r>
  <r>
    <x v="25"/>
    <x v="2"/>
    <x v="2"/>
    <m/>
    <n v="0"/>
  </r>
  <r>
    <x v="25"/>
    <x v="2"/>
    <x v="3"/>
    <m/>
    <n v="0"/>
  </r>
  <r>
    <x v="25"/>
    <x v="2"/>
    <x v="4"/>
    <m/>
    <n v="0"/>
  </r>
  <r>
    <x v="25"/>
    <x v="2"/>
    <x v="5"/>
    <n v="598"/>
    <n v="598"/>
  </r>
  <r>
    <x v="25"/>
    <x v="2"/>
    <x v="6"/>
    <m/>
    <n v="0"/>
  </r>
  <r>
    <x v="25"/>
    <x v="2"/>
    <x v="7"/>
    <m/>
    <n v="0"/>
  </r>
  <r>
    <x v="25"/>
    <x v="2"/>
    <x v="8"/>
    <m/>
    <n v="0"/>
  </r>
  <r>
    <x v="25"/>
    <x v="4"/>
    <x v="0"/>
    <m/>
    <n v="0"/>
  </r>
  <r>
    <x v="25"/>
    <x v="4"/>
    <x v="1"/>
    <m/>
    <n v="0"/>
  </r>
  <r>
    <x v="25"/>
    <x v="4"/>
    <x v="2"/>
    <m/>
    <n v="0"/>
  </r>
  <r>
    <x v="25"/>
    <x v="4"/>
    <x v="3"/>
    <m/>
    <n v="0"/>
  </r>
  <r>
    <x v="25"/>
    <x v="4"/>
    <x v="4"/>
    <m/>
    <n v="0"/>
  </r>
  <r>
    <x v="25"/>
    <x v="4"/>
    <x v="5"/>
    <m/>
    <n v="0"/>
  </r>
  <r>
    <x v="25"/>
    <x v="4"/>
    <x v="6"/>
    <m/>
    <n v="0"/>
  </r>
  <r>
    <x v="25"/>
    <x v="4"/>
    <x v="7"/>
    <m/>
    <n v="0"/>
  </r>
  <r>
    <x v="25"/>
    <x v="4"/>
    <x v="8"/>
    <m/>
    <n v="0"/>
  </r>
  <r>
    <x v="25"/>
    <x v="5"/>
    <x v="0"/>
    <n v="29.311"/>
    <n v="29.311"/>
  </r>
  <r>
    <x v="25"/>
    <x v="5"/>
    <x v="1"/>
    <m/>
    <n v="0"/>
  </r>
  <r>
    <x v="25"/>
    <x v="5"/>
    <x v="2"/>
    <m/>
    <n v="0"/>
  </r>
  <r>
    <x v="25"/>
    <x v="5"/>
    <x v="3"/>
    <m/>
    <n v="0"/>
  </r>
  <r>
    <x v="25"/>
    <x v="5"/>
    <x v="4"/>
    <n v="29.311"/>
    <n v="29.311"/>
  </r>
  <r>
    <x v="25"/>
    <x v="5"/>
    <x v="5"/>
    <m/>
    <n v="0"/>
  </r>
  <r>
    <x v="25"/>
    <x v="5"/>
    <x v="6"/>
    <m/>
    <n v="0"/>
  </r>
  <r>
    <x v="25"/>
    <x v="5"/>
    <x v="7"/>
    <m/>
    <n v="0"/>
  </r>
  <r>
    <x v="25"/>
    <x v="5"/>
    <x v="8"/>
    <m/>
    <n v="0"/>
  </r>
  <r>
    <x v="26"/>
    <x v="0"/>
    <x v="0"/>
    <n v="363796.564"/>
    <n v="2467435.09073575"/>
  </r>
  <r>
    <x v="26"/>
    <x v="0"/>
    <x v="1"/>
    <m/>
    <n v="0"/>
  </r>
  <r>
    <x v="26"/>
    <x v="0"/>
    <x v="2"/>
    <m/>
    <n v="0"/>
  </r>
  <r>
    <x v="26"/>
    <x v="0"/>
    <x v="3"/>
    <m/>
    <n v="0"/>
  </r>
  <r>
    <x v="26"/>
    <x v="0"/>
    <x v="4"/>
    <n v="5133.364"/>
    <n v="34816.82819610037"/>
  </r>
  <r>
    <x v="26"/>
    <x v="0"/>
    <x v="5"/>
    <n v="116200.7"/>
    <n v="788126.4231733031"/>
  </r>
  <r>
    <x v="26"/>
    <x v="0"/>
    <x v="6"/>
    <m/>
    <n v="0"/>
  </r>
  <r>
    <x v="26"/>
    <x v="0"/>
    <x v="7"/>
    <m/>
    <n v="0"/>
  </r>
  <r>
    <x v="26"/>
    <x v="0"/>
    <x v="8"/>
    <n v="2733.9"/>
    <n v="18542.56324026872"/>
  </r>
  <r>
    <x v="26"/>
    <x v="1"/>
    <x v="0"/>
    <n v="80123.2"/>
    <n v="543432.277337393"/>
  </r>
  <r>
    <x v="26"/>
    <x v="1"/>
    <x v="1"/>
    <m/>
    <n v="0"/>
  </r>
  <r>
    <x v="26"/>
    <x v="1"/>
    <x v="2"/>
    <m/>
    <n v="0"/>
  </r>
  <r>
    <x v="26"/>
    <x v="1"/>
    <x v="3"/>
    <m/>
    <n v="0"/>
  </r>
  <r>
    <x v="26"/>
    <x v="1"/>
    <x v="4"/>
    <m/>
    <n v="0"/>
  </r>
  <r>
    <x v="26"/>
    <x v="1"/>
    <x v="5"/>
    <n v="753.2"/>
    <n v="5108.547727631004"/>
  </r>
  <r>
    <x v="26"/>
    <x v="1"/>
    <x v="6"/>
    <m/>
    <n v="0"/>
  </r>
  <r>
    <x v="26"/>
    <x v="1"/>
    <x v="7"/>
    <m/>
    <n v="0"/>
  </r>
  <r>
    <x v="26"/>
    <x v="1"/>
    <x v="8"/>
    <n v="2733.9"/>
    <n v="18542.56324026872"/>
  </r>
  <r>
    <x v="26"/>
    <x v="2"/>
    <x v="0"/>
    <n v="1520"/>
    <n v="1520"/>
  </r>
  <r>
    <x v="26"/>
    <x v="2"/>
    <x v="1"/>
    <m/>
    <n v="0"/>
  </r>
  <r>
    <x v="26"/>
    <x v="2"/>
    <x v="2"/>
    <m/>
    <n v="0"/>
  </r>
  <r>
    <x v="26"/>
    <x v="2"/>
    <x v="3"/>
    <m/>
    <n v="0"/>
  </r>
  <r>
    <x v="26"/>
    <x v="2"/>
    <x v="4"/>
    <m/>
    <n v="0"/>
  </r>
  <r>
    <x v="26"/>
    <x v="2"/>
    <x v="5"/>
    <n v="630"/>
    <n v="630"/>
  </r>
  <r>
    <x v="26"/>
    <x v="2"/>
    <x v="6"/>
    <m/>
    <n v="0"/>
  </r>
  <r>
    <x v="26"/>
    <x v="2"/>
    <x v="7"/>
    <m/>
    <n v="0"/>
  </r>
  <r>
    <x v="26"/>
    <x v="2"/>
    <x v="8"/>
    <m/>
    <n v="0"/>
  </r>
  <r>
    <x v="26"/>
    <x v="4"/>
    <x v="0"/>
    <m/>
    <n v="0"/>
  </r>
  <r>
    <x v="26"/>
    <x v="4"/>
    <x v="1"/>
    <m/>
    <n v="0"/>
  </r>
  <r>
    <x v="26"/>
    <x v="4"/>
    <x v="2"/>
    <m/>
    <n v="0"/>
  </r>
  <r>
    <x v="26"/>
    <x v="4"/>
    <x v="3"/>
    <m/>
    <n v="0"/>
  </r>
  <r>
    <x v="26"/>
    <x v="4"/>
    <x v="4"/>
    <m/>
    <n v="0"/>
  </r>
  <r>
    <x v="26"/>
    <x v="4"/>
    <x v="5"/>
    <m/>
    <n v="0"/>
  </r>
  <r>
    <x v="26"/>
    <x v="4"/>
    <x v="6"/>
    <m/>
    <n v="0"/>
  </r>
  <r>
    <x v="26"/>
    <x v="4"/>
    <x v="7"/>
    <m/>
    <n v="0"/>
  </r>
  <r>
    <x v="26"/>
    <x v="4"/>
    <x v="8"/>
    <m/>
    <n v="0"/>
  </r>
  <r>
    <x v="26"/>
    <x v="5"/>
    <x v="0"/>
    <n v="27.7"/>
    <n v="27.7"/>
  </r>
  <r>
    <x v="26"/>
    <x v="5"/>
    <x v="1"/>
    <m/>
    <n v="0"/>
  </r>
  <r>
    <x v="26"/>
    <x v="5"/>
    <x v="2"/>
    <m/>
    <n v="0"/>
  </r>
  <r>
    <x v="26"/>
    <x v="5"/>
    <x v="3"/>
    <m/>
    <n v="0"/>
  </r>
  <r>
    <x v="26"/>
    <x v="5"/>
    <x v="4"/>
    <n v="27.7"/>
    <n v="27.7"/>
  </r>
  <r>
    <x v="26"/>
    <x v="5"/>
    <x v="5"/>
    <m/>
    <n v="0"/>
  </r>
  <r>
    <x v="26"/>
    <x v="5"/>
    <x v="6"/>
    <m/>
    <n v="0"/>
  </r>
  <r>
    <x v="26"/>
    <x v="5"/>
    <x v="7"/>
    <m/>
    <n v="0"/>
  </r>
  <r>
    <x v="26"/>
    <x v="5"/>
    <x v="8"/>
    <m/>
    <n v="0"/>
  </r>
  <r>
    <x v="27"/>
    <x v="0"/>
    <x v="0"/>
    <n v="1336868.4"/>
    <n v="2911699.3752"/>
  </r>
  <r>
    <x v="27"/>
    <x v="0"/>
    <x v="1"/>
    <m/>
    <n v="0"/>
  </r>
  <r>
    <x v="27"/>
    <x v="0"/>
    <x v="2"/>
    <m/>
    <n v="0"/>
  </r>
  <r>
    <x v="27"/>
    <x v="0"/>
    <x v="3"/>
    <m/>
    <n v="0"/>
  </r>
  <r>
    <x v="27"/>
    <x v="0"/>
    <x v="4"/>
    <m/>
    <n v="0"/>
  </r>
  <r>
    <x v="27"/>
    <x v="0"/>
    <x v="5"/>
    <n v="538038.4"/>
    <n v="1171847.6352"/>
  </r>
  <r>
    <x v="27"/>
    <x v="0"/>
    <x v="6"/>
    <m/>
    <n v="0"/>
  </r>
  <r>
    <x v="27"/>
    <x v="0"/>
    <x v="7"/>
    <m/>
    <n v="0"/>
  </r>
  <r>
    <x v="27"/>
    <x v="0"/>
    <x v="8"/>
    <m/>
    <n v="0"/>
  </r>
  <r>
    <x v="27"/>
    <x v="1"/>
    <x v="0"/>
    <n v="62225.5"/>
    <n v="135527.139"/>
  </r>
  <r>
    <x v="27"/>
    <x v="1"/>
    <x v="1"/>
    <m/>
    <n v="0"/>
  </r>
  <r>
    <x v="27"/>
    <x v="1"/>
    <x v="2"/>
    <m/>
    <n v="0"/>
  </r>
  <r>
    <x v="27"/>
    <x v="1"/>
    <x v="3"/>
    <m/>
    <n v="0"/>
  </r>
  <r>
    <x v="27"/>
    <x v="1"/>
    <x v="4"/>
    <m/>
    <n v="0"/>
  </r>
  <r>
    <x v="27"/>
    <x v="1"/>
    <x v="5"/>
    <n v="538"/>
    <n v="1171.764"/>
  </r>
  <r>
    <x v="27"/>
    <x v="1"/>
    <x v="6"/>
    <m/>
    <n v="0"/>
  </r>
  <r>
    <x v="27"/>
    <x v="1"/>
    <x v="7"/>
    <m/>
    <n v="0"/>
  </r>
  <r>
    <x v="27"/>
    <x v="1"/>
    <x v="8"/>
    <m/>
    <n v="0"/>
  </r>
  <r>
    <x v="27"/>
    <x v="2"/>
    <x v="0"/>
    <n v="1539"/>
    <n v="1539"/>
  </r>
  <r>
    <x v="27"/>
    <x v="2"/>
    <x v="1"/>
    <m/>
    <n v="0"/>
  </r>
  <r>
    <x v="27"/>
    <x v="2"/>
    <x v="2"/>
    <m/>
    <n v="0"/>
  </r>
  <r>
    <x v="27"/>
    <x v="2"/>
    <x v="3"/>
    <m/>
    <n v="0"/>
  </r>
  <r>
    <x v="27"/>
    <x v="2"/>
    <x v="4"/>
    <m/>
    <n v="0"/>
  </r>
  <r>
    <x v="27"/>
    <x v="2"/>
    <x v="5"/>
    <n v="649"/>
    <n v="649"/>
  </r>
  <r>
    <x v="27"/>
    <x v="2"/>
    <x v="6"/>
    <m/>
    <n v="0"/>
  </r>
  <r>
    <x v="27"/>
    <x v="2"/>
    <x v="7"/>
    <m/>
    <n v="0"/>
  </r>
  <r>
    <x v="27"/>
    <x v="2"/>
    <x v="8"/>
    <m/>
    <n v="0"/>
  </r>
  <r>
    <x v="27"/>
    <x v="4"/>
    <x v="0"/>
    <m/>
    <n v="0"/>
  </r>
  <r>
    <x v="27"/>
    <x v="4"/>
    <x v="1"/>
    <m/>
    <n v="0"/>
  </r>
  <r>
    <x v="27"/>
    <x v="4"/>
    <x v="2"/>
    <m/>
    <n v="0"/>
  </r>
  <r>
    <x v="27"/>
    <x v="4"/>
    <x v="3"/>
    <m/>
    <n v="0"/>
  </r>
  <r>
    <x v="27"/>
    <x v="4"/>
    <x v="4"/>
    <m/>
    <n v="0"/>
  </r>
  <r>
    <x v="27"/>
    <x v="4"/>
    <x v="5"/>
    <m/>
    <n v="0"/>
  </r>
  <r>
    <x v="27"/>
    <x v="4"/>
    <x v="6"/>
    <m/>
    <n v="0"/>
  </r>
  <r>
    <x v="27"/>
    <x v="4"/>
    <x v="7"/>
    <m/>
    <n v="0"/>
  </r>
  <r>
    <x v="27"/>
    <x v="4"/>
    <x v="8"/>
    <m/>
    <n v="0"/>
  </r>
  <r>
    <x v="27"/>
    <x v="5"/>
    <x v="0"/>
    <m/>
    <n v="0"/>
  </r>
  <r>
    <x v="27"/>
    <x v="5"/>
    <x v="1"/>
    <m/>
    <n v="0"/>
  </r>
  <r>
    <x v="27"/>
    <x v="5"/>
    <x v="2"/>
    <m/>
    <n v="0"/>
  </r>
  <r>
    <x v="27"/>
    <x v="5"/>
    <x v="3"/>
    <m/>
    <n v="0"/>
  </r>
  <r>
    <x v="27"/>
    <x v="5"/>
    <x v="4"/>
    <m/>
    <n v="0"/>
  </r>
  <r>
    <x v="27"/>
    <x v="5"/>
    <x v="5"/>
    <m/>
    <n v="0"/>
  </r>
  <r>
    <x v="27"/>
    <x v="5"/>
    <x v="6"/>
    <m/>
    <n v="0"/>
  </r>
  <r>
    <x v="27"/>
    <x v="5"/>
    <x v="7"/>
    <m/>
    <n v="0"/>
  </r>
  <r>
    <x v="27"/>
    <x v="5"/>
    <x v="8"/>
    <m/>
    <n v="0"/>
  </r>
  <r>
    <x v="28"/>
    <x v="0"/>
    <x v="0"/>
    <n v="1618579.4"/>
    <n v="1618579.4"/>
  </r>
  <r>
    <x v="28"/>
    <x v="0"/>
    <x v="1"/>
    <m/>
    <n v="0"/>
  </r>
  <r>
    <x v="28"/>
    <x v="0"/>
    <x v="2"/>
    <m/>
    <n v="0"/>
  </r>
  <r>
    <x v="28"/>
    <x v="0"/>
    <x v="3"/>
    <m/>
    <n v="0"/>
  </r>
  <r>
    <x v="28"/>
    <x v="0"/>
    <x v="4"/>
    <m/>
    <n v="0"/>
  </r>
  <r>
    <x v="28"/>
    <x v="0"/>
    <x v="5"/>
    <n v="646170.1"/>
    <n v="646170.1"/>
  </r>
  <r>
    <x v="28"/>
    <x v="0"/>
    <x v="6"/>
    <m/>
    <n v="0"/>
  </r>
  <r>
    <x v="28"/>
    <x v="0"/>
    <x v="7"/>
    <m/>
    <n v="0"/>
  </r>
  <r>
    <x v="28"/>
    <x v="0"/>
    <x v="8"/>
    <m/>
    <n v="0"/>
  </r>
  <r>
    <x v="28"/>
    <x v="1"/>
    <x v="0"/>
    <n v="36007.10000000001"/>
    <n v="36007.10000000001"/>
  </r>
  <r>
    <x v="28"/>
    <x v="1"/>
    <x v="1"/>
    <m/>
    <n v="0"/>
  </r>
  <r>
    <x v="28"/>
    <x v="1"/>
    <x v="2"/>
    <m/>
    <n v="0"/>
  </r>
  <r>
    <x v="28"/>
    <x v="1"/>
    <x v="3"/>
    <m/>
    <n v="0"/>
  </r>
  <r>
    <x v="28"/>
    <x v="1"/>
    <x v="4"/>
    <m/>
    <n v="0"/>
  </r>
  <r>
    <x v="28"/>
    <x v="1"/>
    <x v="5"/>
    <n v="322.8"/>
    <n v="322.8"/>
  </r>
  <r>
    <x v="28"/>
    <x v="1"/>
    <x v="6"/>
    <m/>
    <n v="0"/>
  </r>
  <r>
    <x v="28"/>
    <x v="1"/>
    <x v="7"/>
    <m/>
    <n v="0"/>
  </r>
  <r>
    <x v="28"/>
    <x v="1"/>
    <x v="8"/>
    <m/>
    <n v="0"/>
  </r>
  <r>
    <x v="28"/>
    <x v="2"/>
    <x v="0"/>
    <n v="1503.6"/>
    <n v="1503.6"/>
  </r>
  <r>
    <x v="28"/>
    <x v="2"/>
    <x v="1"/>
    <m/>
    <n v="0"/>
  </r>
  <r>
    <x v="28"/>
    <x v="2"/>
    <x v="2"/>
    <m/>
    <n v="0"/>
  </r>
  <r>
    <x v="28"/>
    <x v="2"/>
    <x v="3"/>
    <m/>
    <n v="0"/>
  </r>
  <r>
    <x v="28"/>
    <x v="2"/>
    <x v="4"/>
    <m/>
    <n v="0"/>
  </r>
  <r>
    <x v="28"/>
    <x v="2"/>
    <x v="5"/>
    <n v="613.6"/>
    <n v="613.6"/>
  </r>
  <r>
    <x v="28"/>
    <x v="2"/>
    <x v="6"/>
    <m/>
    <n v="0"/>
  </r>
  <r>
    <x v="28"/>
    <x v="2"/>
    <x v="7"/>
    <m/>
    <n v="0"/>
  </r>
  <r>
    <x v="28"/>
    <x v="2"/>
    <x v="8"/>
    <m/>
    <n v="0"/>
  </r>
  <r>
    <x v="28"/>
    <x v="4"/>
    <x v="0"/>
    <m/>
    <n v="0"/>
  </r>
  <r>
    <x v="28"/>
    <x v="4"/>
    <x v="1"/>
    <m/>
    <n v="0"/>
  </r>
  <r>
    <x v="28"/>
    <x v="4"/>
    <x v="2"/>
    <m/>
    <n v="0"/>
  </r>
  <r>
    <x v="28"/>
    <x v="4"/>
    <x v="3"/>
    <m/>
    <n v="0"/>
  </r>
  <r>
    <x v="28"/>
    <x v="4"/>
    <x v="4"/>
    <m/>
    <n v="0"/>
  </r>
  <r>
    <x v="28"/>
    <x v="4"/>
    <x v="5"/>
    <m/>
    <n v="0"/>
  </r>
  <r>
    <x v="28"/>
    <x v="4"/>
    <x v="6"/>
    <m/>
    <n v="0"/>
  </r>
  <r>
    <x v="28"/>
    <x v="4"/>
    <x v="7"/>
    <m/>
    <n v="0"/>
  </r>
  <r>
    <x v="28"/>
    <x v="4"/>
    <x v="8"/>
    <m/>
    <n v="0"/>
  </r>
  <r>
    <x v="28"/>
    <x v="5"/>
    <x v="0"/>
    <m/>
    <n v="0"/>
  </r>
  <r>
    <x v="28"/>
    <x v="5"/>
    <x v="1"/>
    <m/>
    <n v="0"/>
  </r>
  <r>
    <x v="28"/>
    <x v="5"/>
    <x v="2"/>
    <m/>
    <n v="0"/>
  </r>
  <r>
    <x v="28"/>
    <x v="5"/>
    <x v="3"/>
    <m/>
    <n v="0"/>
  </r>
  <r>
    <x v="28"/>
    <x v="5"/>
    <x v="4"/>
    <m/>
    <n v="0"/>
  </r>
  <r>
    <x v="28"/>
    <x v="5"/>
    <x v="5"/>
    <m/>
    <n v="0"/>
  </r>
  <r>
    <x v="28"/>
    <x v="5"/>
    <x v="6"/>
    <m/>
    <n v="0"/>
  </r>
  <r>
    <x v="28"/>
    <x v="5"/>
    <x v="7"/>
    <m/>
    <n v="0"/>
  </r>
  <r>
    <x v="28"/>
    <x v="5"/>
    <x v="8"/>
    <m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4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O2:AH34" firstHeaderRow="1" firstDataRow="3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3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h="1" sd="1" x="4"/>
        <item t="data" h="1" sd="1" x="2"/>
        <item t="data" h="1" sd="1" x="3"/>
        <item t="data" h="1" sd="1" x="1"/>
        <item t="data" sd="1" x="0"/>
        <item t="data" h="1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0">
        <item t="data" sd="1" x="7"/>
        <item t="data" sd="1" x="4"/>
        <item t="data" sd="1" x="1"/>
        <item t="data" sd="1" x="6"/>
        <item t="data" sd="1" x="3"/>
        <item t="data" sd="1" x="5"/>
        <item t="data" sd="1" x="8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grand" r="0" i="0">
      <x v="0"/>
    </i>
  </rowItems>
  <colFields count="2">
    <field x="2"/>
    <field x="1"/>
  </colFields>
  <colItems count="19">
    <i t="data" r="0" i="0">
      <x v="0"/>
      <x v="4"/>
    </i>
    <i t="default" r="0" i="0">
      <x v="0"/>
    </i>
    <i t="data" r="0" i="0">
      <x v="1"/>
      <x v="4"/>
    </i>
    <i t="default" r="0" i="0">
      <x v="1"/>
    </i>
    <i t="data" r="0" i="0">
      <x v="2"/>
      <x v="4"/>
    </i>
    <i t="default" r="0" i="0">
      <x v="2"/>
    </i>
    <i t="data" r="0" i="0">
      <x v="3"/>
      <x v="4"/>
    </i>
    <i t="default" r="0" i="0">
      <x v="3"/>
    </i>
    <i t="data" r="0" i="0">
      <x v="4"/>
      <x v="4"/>
    </i>
    <i t="default" r="0" i="0">
      <x v="4"/>
    </i>
    <i t="data" r="0" i="0">
      <x v="5"/>
      <x v="4"/>
    </i>
    <i t="default" r="0" i="0">
      <x v="5"/>
    </i>
    <i t="data" r="0" i="0">
      <x v="6"/>
      <x v="4"/>
    </i>
    <i t="default" r="0" i="0">
      <x v="6"/>
    </i>
    <i t="data" r="0" i="0">
      <x v="7"/>
      <x v="4"/>
    </i>
    <i t="default" r="0" i="0">
      <x v="7"/>
    </i>
    <i t="data" r="0" i="0">
      <x v="8"/>
      <x v="4"/>
    </i>
    <i t="default" r="0" i="0">
      <x v="8"/>
    </i>
    <i t="grand" r="0" i="0">
      <x v="0"/>
    </i>
  </colItems>
  <dataFields count="1">
    <dataField name="Suma de Constante" fld="4" subtotal="sum" showDataAs="normal" baseField="0" baseItem="0"/>
  </dataFields>
  <chartFormats count="54">
    <chartFormat chart="0" format="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0" format="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0" format="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0" format="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0"/>
          </reference>
        </references>
      </pivotArea>
    </chartFormat>
    <chartFormat chart="0" format="4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0"/>
          </reference>
        </references>
      </pivotArea>
    </chartFormat>
    <chartFormat chart="0" format="5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0"/>
          </reference>
        </references>
      </pivotArea>
    </chartFormat>
    <chartFormat chart="0" format="6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1"/>
          </reference>
        </references>
      </pivotArea>
    </chartFormat>
    <chartFormat chart="0" format="7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0" format="8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1"/>
          </reference>
        </references>
      </pivotArea>
    </chartFormat>
    <chartFormat chart="0" format="9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1"/>
          </reference>
        </references>
      </pivotArea>
    </chartFormat>
    <chartFormat chart="0" format="1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1"/>
          </reference>
        </references>
      </pivotArea>
    </chartFormat>
    <chartFormat chart="0" format="1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1"/>
          </reference>
        </references>
      </pivotArea>
    </chartFormat>
    <chartFormat chart="0" format="1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0" format="1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2"/>
          </reference>
        </references>
      </pivotArea>
    </chartFormat>
    <chartFormat chart="0" format="14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  <chartFormat chart="0" format="15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2"/>
          </reference>
        </references>
      </pivotArea>
    </chartFormat>
    <chartFormat chart="0" format="16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2"/>
          </reference>
        </references>
      </pivotArea>
    </chartFormat>
    <chartFormat chart="0" format="17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2"/>
          </reference>
        </references>
      </pivotArea>
    </chartFormat>
    <chartFormat chart="0" format="18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3"/>
          </reference>
        </references>
      </pivotArea>
    </chartFormat>
    <chartFormat chart="0" format="19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0" format="2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3"/>
          </reference>
        </references>
      </pivotArea>
    </chartFormat>
    <chartFormat chart="0" format="2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3"/>
          </reference>
        </references>
      </pivotArea>
    </chartFormat>
    <chartFormat chart="0" format="2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3"/>
          </reference>
        </references>
      </pivotArea>
    </chartFormat>
    <chartFormat chart="0" format="2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3"/>
          </reference>
        </references>
      </pivotArea>
    </chartFormat>
    <chartFormat chart="0" format="24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0" format="25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4"/>
          </reference>
        </references>
      </pivotArea>
    </chartFormat>
    <chartFormat chart="0" format="26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4"/>
          </reference>
        </references>
      </pivotArea>
    </chartFormat>
    <chartFormat chart="0" format="27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4"/>
          </reference>
        </references>
      </pivotArea>
    </chartFormat>
    <chartFormat chart="0" format="28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4"/>
          </reference>
        </references>
      </pivotArea>
    </chartFormat>
    <chartFormat chart="0" format="29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4"/>
          </reference>
        </references>
      </pivotArea>
    </chartFormat>
    <chartFormat chart="0" format="3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5"/>
          </reference>
        </references>
      </pivotArea>
    </chartFormat>
    <chartFormat chart="0" format="3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5"/>
          </reference>
        </references>
      </pivotArea>
    </chartFormat>
    <chartFormat chart="0" format="3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5"/>
          </reference>
        </references>
      </pivotArea>
    </chartFormat>
    <chartFormat chart="0" format="3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5"/>
          </reference>
        </references>
      </pivotArea>
    </chartFormat>
    <chartFormat chart="0" format="34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5"/>
          </reference>
        </references>
      </pivotArea>
    </chartFormat>
    <chartFormat chart="0" format="35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5"/>
          </reference>
        </references>
      </pivotArea>
    </chartFormat>
    <chartFormat chart="0" format="36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6"/>
          </reference>
        </references>
      </pivotArea>
    </chartFormat>
    <chartFormat chart="0" format="37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6"/>
          </reference>
        </references>
      </pivotArea>
    </chartFormat>
    <chartFormat chart="0" format="38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6"/>
          </reference>
        </references>
      </pivotArea>
    </chartFormat>
    <chartFormat chart="0" format="39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6"/>
          </reference>
        </references>
      </pivotArea>
    </chartFormat>
    <chartFormat chart="0" format="4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6"/>
          </reference>
        </references>
      </pivotArea>
    </chartFormat>
    <chartFormat chart="0" format="4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6"/>
          </reference>
        </references>
      </pivotArea>
    </chartFormat>
    <chartFormat chart="0" format="4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7"/>
          </reference>
        </references>
      </pivotArea>
    </chartFormat>
    <chartFormat chart="0" format="4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7"/>
          </reference>
        </references>
      </pivotArea>
    </chartFormat>
    <chartFormat chart="0" format="44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7"/>
          </reference>
        </references>
      </pivotArea>
    </chartFormat>
    <chartFormat chart="0" format="45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7"/>
          </reference>
        </references>
      </pivotArea>
    </chartFormat>
    <chartFormat chart="0" format="46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7"/>
          </reference>
        </references>
      </pivotArea>
    </chartFormat>
    <chartFormat chart="0" format="47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7"/>
          </reference>
        </references>
      </pivotArea>
    </chartFormat>
    <chartFormat chart="0" format="48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8"/>
          </reference>
        </references>
      </pivotArea>
    </chartFormat>
    <chartFormat chart="0" format="49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8"/>
          </reference>
        </references>
      </pivotArea>
    </chartFormat>
    <chartFormat chart="0" format="50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8"/>
          </reference>
        </references>
      </pivotArea>
    </chartFormat>
    <chartFormat chart="0" format="51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2" selected="0">
            <x v="8"/>
          </reference>
        </references>
      </pivotArea>
    </chartFormat>
    <chartFormat chart="0" format="52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2" selected="0">
            <x v="8"/>
          </reference>
        </references>
      </pivotArea>
    </chartFormat>
    <chartFormat chart="0" format="53" series="1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2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3" displayName="Tabla3" ref="A1:K106" headerRowCount="1" totalsRowShown="0">
  <autoFilter ref="A1:K106"/>
  <tableColumns count="11">
    <tableColumn id="1" name="Columna1"/>
    <tableColumn id="2" name="Columna2"/>
    <tableColumn id="3" name="Proveedores y Contratistas"/>
    <tableColumn id="4" name="Deuda previsional"/>
    <tableColumn id="5" name="Títulos públicos"/>
    <tableColumn id="6" name="Letras del Tesoro Ley 3395 art. 2"/>
    <tableColumn id="7" name="Deuda financiera "/>
    <tableColumn id="8" name="Organismos internacionales de crédito"/>
    <tableColumn id="9" name="Garantías y/o avales"/>
    <tableColumn id="10" name="Acuerdo OSPLAD"/>
    <tableColumn id="11" name="Préstamo ANSES - Ley 56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_1" displayName="Tabla3_1" ref="A1:E946" tableType="queryTable" headerRowCount="1" totalsRowShown="0">
  <autoFilter ref="A1:E946"/>
  <tableColumns count="5">
    <tableColumn id="1" uniqueName="1" name="añpo" queryTableFieldId="1"/>
    <tableColumn id="2" uniqueName="2" name="moneda" queryTableFieldId="2" dataDxfId="2"/>
    <tableColumn id="3" uniqueName="3" name="Atributo" queryTableFieldId="3" dataDxfId="1"/>
    <tableColumn id="4" uniqueName="4" name="Valor" queryTableFieldId="4"/>
    <tableColumn id="5" uniqueName="5" name="Constante" queryTableFieldId="5" dataDxfId="0">
      <calculatedColumnFormula>IF(OR(Tabla3_1[[#This Row],[moneda]]="Total en ARS",Tabla3_1[[#This Row],[moneda]]="pesos"),Tabla3_1[[#This Row],[Valor]]*VLOOKUP(Tabla3_1[[#This Row],[añpo]],ipc!$A:$D,4,FALSE),Tabla3_1[[#This Row],[Valor]])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Relationship Type="http://schemas.openxmlformats.org/officeDocument/2006/relationships/pivotTable" Target="/xl/pivotTables/pivotTabl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selection activeCell="B4" sqref="B4"/>
    </sheetView>
  </sheetViews>
  <sheetFormatPr baseColWidth="10" defaultRowHeight="14.4"/>
  <sheetData>
    <row r="1"/>
    <row r="2">
      <c r="A2" s="51" t="inlineStr">
        <is>
          <t>Presupuesto (millones de pesos) del Gobierno de la Ciudad de Buenos Aires . Esquema de Ahorro - Inversión - Financiamiento. Consolidado general. Años 1995/2025</t>
        </is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G2" t="inlineStr">
        <is>
          <t>Proyecto 2027 (Planilla 16)</t>
        </is>
      </c>
    </row>
    <row r="3">
      <c r="A3" s="2" t="inlineStr">
        <is>
          <t>Concepto</t>
        </is>
      </c>
      <c r="B3" s="2" t="n">
        <v>1995</v>
      </c>
      <c r="C3" s="2" t="n">
        <v>1996</v>
      </c>
      <c r="D3" s="2" t="n">
        <v>1997</v>
      </c>
      <c r="E3" s="2" t="n">
        <v>1998</v>
      </c>
      <c r="F3" s="2" t="n">
        <v>1999</v>
      </c>
      <c r="G3" s="2" t="n">
        <v>2000</v>
      </c>
      <c r="H3" s="2" t="n">
        <v>2001</v>
      </c>
      <c r="I3" s="2" t="n">
        <v>2002</v>
      </c>
      <c r="J3" s="2" t="n">
        <v>2003</v>
      </c>
      <c r="K3" s="2" t="n">
        <v>2004</v>
      </c>
      <c r="L3" s="2" t="n">
        <v>2005</v>
      </c>
      <c r="M3" s="2" t="n">
        <v>2006</v>
      </c>
      <c r="N3" s="2" t="n">
        <v>2007</v>
      </c>
      <c r="O3" s="2" t="n">
        <v>2008</v>
      </c>
      <c r="P3" s="2" t="n">
        <v>2009</v>
      </c>
      <c r="Q3" s="62" t="n">
        <v>2010</v>
      </c>
      <c r="R3" s="62" t="n">
        <v>2011</v>
      </c>
      <c r="S3" s="62" t="n">
        <v>2012</v>
      </c>
      <c r="T3" s="62" t="n">
        <v>2013</v>
      </c>
      <c r="U3" s="62" t="n">
        <v>2014</v>
      </c>
      <c r="V3" s="62" t="n">
        <v>2015</v>
      </c>
      <c r="W3" s="62" t="n">
        <v>2016</v>
      </c>
      <c r="X3" s="62" t="n">
        <v>2017</v>
      </c>
      <c r="Y3" s="59" t="n">
        <v>2018</v>
      </c>
      <c r="Z3" s="59" t="n">
        <v>2019</v>
      </c>
      <c r="AA3" s="59" t="n">
        <v>2020</v>
      </c>
      <c r="AB3" s="58" t="n">
        <v>2021</v>
      </c>
      <c r="AC3" s="58" t="n">
        <v>2022</v>
      </c>
      <c r="AD3" s="58" t="n">
        <v>2023</v>
      </c>
      <c r="AE3" s="6" t="n">
        <v>2024</v>
      </c>
      <c r="AF3" t="inlineStr">
        <is>
          <t>2025*</t>
        </is>
      </c>
      <c r="AG3" t="inlineStr">
        <is>
          <t>2027P</t>
        </is>
      </c>
    </row>
    <row r="4">
      <c r="A4" s="7" t="inlineStr">
        <is>
          <t>1) Ingresos corrientes</t>
        </is>
      </c>
      <c r="B4" s="8" t="n">
        <v>2667.35</v>
      </c>
      <c r="C4" s="8" t="n">
        <v>2719.4</v>
      </c>
      <c r="D4" s="8" t="n">
        <v>2810.77193966</v>
      </c>
      <c r="E4" s="8" t="n">
        <v>3124.19</v>
      </c>
      <c r="F4" s="8" t="n">
        <v>3195.190000000001</v>
      </c>
      <c r="G4" s="8" t="n">
        <v>3219.08</v>
      </c>
      <c r="H4" s="8" t="n">
        <v>2927.33870179</v>
      </c>
      <c r="I4" s="8" t="n">
        <v>2879.97051957</v>
      </c>
      <c r="J4" s="8" t="n">
        <v>3992.362199749999</v>
      </c>
      <c r="K4" s="8" t="n">
        <v>5138.66508624</v>
      </c>
      <c r="L4" s="8" t="n">
        <v>6096.00670442</v>
      </c>
      <c r="M4" s="8" t="n">
        <v>7532.519417979999</v>
      </c>
      <c r="N4" s="8" t="n">
        <v>9531.745187210001</v>
      </c>
      <c r="O4" s="8" t="n">
        <v>12702.57349371</v>
      </c>
      <c r="P4" s="8" t="n">
        <v>14915.99249101</v>
      </c>
      <c r="Q4" s="8" t="n">
        <v>19416.34</v>
      </c>
      <c r="R4" s="8" t="n">
        <v>25765.350001</v>
      </c>
      <c r="S4" s="8" t="n">
        <v>33304.30209536</v>
      </c>
      <c r="T4" s="8" t="n">
        <v>47348.933537</v>
      </c>
      <c r="U4" s="8" t="n">
        <v>63713.465993</v>
      </c>
      <c r="V4" s="8" t="n">
        <v>80949.76844499999</v>
      </c>
      <c r="W4" s="8" t="n">
        <v>128692.46315064</v>
      </c>
      <c r="X4" s="8" t="n">
        <v>180282.053956</v>
      </c>
      <c r="Y4" s="8" t="n">
        <v>269134.18559574</v>
      </c>
      <c r="Z4" s="8" t="n">
        <v>350978.54047213</v>
      </c>
      <c r="AA4" s="8" t="n">
        <v>435154.2</v>
      </c>
      <c r="AB4" s="8" t="n">
        <v>677073.99532626</v>
      </c>
      <c r="AC4" s="8" t="n">
        <v>1306253.87119018</v>
      </c>
      <c r="AD4" s="8" t="n">
        <v>3300184.37881611</v>
      </c>
      <c r="AE4" s="8" t="n">
        <v>9426456.775499128</v>
      </c>
      <c r="AF4" t="n">
        <v>13454248.45349441</v>
      </c>
      <c r="AG4" t="n">
        <v>24092481.443901</v>
      </c>
    </row>
    <row r="5">
      <c r="A5" s="9" t="inlineStr">
        <is>
          <t>Ingresos tributarios</t>
        </is>
      </c>
      <c r="B5" s="10" t="n">
        <v>2462.23</v>
      </c>
      <c r="C5" s="10" t="n">
        <v>2490.1</v>
      </c>
      <c r="D5" s="10" t="n">
        <v>2550.67214026</v>
      </c>
      <c r="E5" s="10" t="n">
        <v>2700.52</v>
      </c>
      <c r="F5" s="10" t="n">
        <v>2926.07</v>
      </c>
      <c r="G5" s="10" t="n">
        <v>2898.31</v>
      </c>
      <c r="H5" s="10" t="n">
        <v>2650.53810714</v>
      </c>
      <c r="I5" s="10" t="n">
        <v>2609.61625081</v>
      </c>
      <c r="J5" s="10" t="n">
        <v>3604.63178717</v>
      </c>
      <c r="K5" s="10" t="n">
        <v>4190.75307466</v>
      </c>
      <c r="L5" s="10" t="n">
        <v>5000.85489972</v>
      </c>
      <c r="M5" s="10" t="n">
        <v>6958.804997539999</v>
      </c>
      <c r="N5" s="10" t="n">
        <v>8850.59919897</v>
      </c>
      <c r="O5" s="10" t="n">
        <v>11964.59136522</v>
      </c>
      <c r="P5" s="10" t="n">
        <v>14005.76783649</v>
      </c>
      <c r="Q5" s="10" t="n">
        <v>18289.93</v>
      </c>
      <c r="R5" s="10" t="n">
        <v>24194.547193</v>
      </c>
      <c r="S5" s="10" t="n">
        <v>31205.02974709</v>
      </c>
      <c r="T5" s="10" t="n">
        <v>44688.216453</v>
      </c>
      <c r="U5" s="10" t="n">
        <v>60199.236461</v>
      </c>
      <c r="V5" s="10" t="n">
        <v>76854.743499</v>
      </c>
      <c r="W5" s="10" t="n">
        <v>121588.67683259</v>
      </c>
      <c r="X5" s="10" t="n">
        <v>166817.752191</v>
      </c>
      <c r="Y5" s="10" t="n">
        <v>231751.85440367</v>
      </c>
      <c r="Z5" s="10" t="n">
        <v>319988.03287109</v>
      </c>
      <c r="AA5" s="10" t="n">
        <v>412373.6</v>
      </c>
      <c r="AB5" s="10" t="n">
        <v>607641.7348641</v>
      </c>
      <c r="AC5" s="10" t="n">
        <v>1160662.31981398</v>
      </c>
      <c r="AD5" s="10" t="n">
        <v>2950237.9325612</v>
      </c>
      <c r="AE5" s="10" t="n">
        <v>7845601.19171632</v>
      </c>
      <c r="AF5" t="n">
        <v>11258557.8118981</v>
      </c>
      <c r="AG5" t="n">
        <v>19094214.003433</v>
      </c>
    </row>
    <row r="6">
      <c r="A6" s="9" t="inlineStr">
        <is>
          <t>Ingresos no tributarios</t>
        </is>
      </c>
      <c r="B6" s="10" t="n">
        <v>132.12</v>
      </c>
      <c r="C6" s="10" t="n">
        <v>138.4</v>
      </c>
      <c r="D6" s="10" t="n">
        <v>179.48496245</v>
      </c>
      <c r="E6" s="10" t="n">
        <v>158.48</v>
      </c>
      <c r="F6" s="10" t="n">
        <v>171.11</v>
      </c>
      <c r="G6" s="10" t="n">
        <v>197.16</v>
      </c>
      <c r="H6" s="10" t="n">
        <v>175.58364901</v>
      </c>
      <c r="I6" s="10" t="n">
        <v>183.06237949</v>
      </c>
      <c r="J6" s="10" t="n">
        <v>191.16994692</v>
      </c>
      <c r="K6" s="10" t="n">
        <v>225.37797569</v>
      </c>
      <c r="L6" s="10" t="n">
        <v>228.61641405</v>
      </c>
      <c r="M6" s="10" t="n">
        <v>300.81234865</v>
      </c>
      <c r="N6" s="10" t="n">
        <v>418.48325744</v>
      </c>
      <c r="O6" s="10" t="n">
        <v>482.22362758</v>
      </c>
      <c r="P6" s="10" t="n">
        <v>610.6647075499999</v>
      </c>
      <c r="Q6" s="10" t="n">
        <v>668.97</v>
      </c>
      <c r="R6" s="10" t="n">
        <v>968.031147</v>
      </c>
      <c r="S6" s="10" t="n">
        <v>1138.38623342</v>
      </c>
      <c r="T6" s="10" t="n">
        <v>1810.90198</v>
      </c>
      <c r="U6" s="10" t="n">
        <v>2227.441992</v>
      </c>
      <c r="V6" s="10" t="n">
        <v>2749.91785</v>
      </c>
      <c r="W6" s="10" t="n">
        <v>4053.116212</v>
      </c>
      <c r="X6" s="10" t="n">
        <v>7452.160178</v>
      </c>
      <c r="Y6" s="10" t="n">
        <v>8035.659812939999</v>
      </c>
      <c r="Z6" s="10" t="n">
        <v>13871.56473081</v>
      </c>
      <c r="AA6" s="10" t="n">
        <v>8336.5</v>
      </c>
      <c r="AB6" s="10" t="n">
        <v>17993.08410022</v>
      </c>
      <c r="AC6" s="10" t="n">
        <v>36551.20682982</v>
      </c>
      <c r="AD6" s="10" t="n">
        <v>63998.22777252</v>
      </c>
      <c r="AE6" s="10" t="n">
        <v>2816.39560634</v>
      </c>
      <c r="AF6" t="n">
        <v>331219.33805503</v>
      </c>
      <c r="AG6" t="n">
        <v>663825.629989</v>
      </c>
    </row>
    <row r="7">
      <c r="A7" s="9" t="inlineStr">
        <is>
          <t xml:space="preserve">Venta de bienes y servicios </t>
        </is>
      </c>
      <c r="B7" s="10" t="n">
        <v>41.74</v>
      </c>
      <c r="C7" s="10" t="n">
        <v>54.1</v>
      </c>
      <c r="D7" s="10" t="n">
        <v>80.61483695</v>
      </c>
      <c r="E7" s="10" t="n">
        <v>47.8</v>
      </c>
      <c r="F7" s="10" t="n">
        <v>38.11</v>
      </c>
      <c r="G7" s="10" t="n">
        <v>36.35</v>
      </c>
      <c r="H7" s="10" t="n">
        <v>35.23423554999999</v>
      </c>
      <c r="I7" s="10" t="n">
        <v>29.87077965</v>
      </c>
      <c r="J7" s="10" t="n">
        <v>37.97308309</v>
      </c>
      <c r="K7" s="10" t="n">
        <v>38.40943035</v>
      </c>
      <c r="L7" s="10" t="n">
        <v>38.91293065</v>
      </c>
      <c r="M7" s="10" t="n">
        <v>42.64681601</v>
      </c>
      <c r="N7" s="10" t="n">
        <v>49.84653686</v>
      </c>
      <c r="O7" s="10" t="n">
        <v>54.4155324</v>
      </c>
      <c r="P7" s="10" t="n">
        <v>71.49837266999999</v>
      </c>
      <c r="Q7" s="10" t="n">
        <v>113.75</v>
      </c>
      <c r="R7" s="10" t="n">
        <v>149.421538</v>
      </c>
      <c r="S7" s="10" t="n">
        <v>212.7647733</v>
      </c>
      <c r="T7" s="10" t="n">
        <v>229.797548</v>
      </c>
      <c r="U7" s="10" t="n">
        <v>396.956485</v>
      </c>
      <c r="V7" s="10" t="n">
        <v>511.426979</v>
      </c>
      <c r="W7" s="10" t="n">
        <v>679.6948360499999</v>
      </c>
      <c r="X7" s="10" t="n">
        <v>1411.127466</v>
      </c>
      <c r="Y7" s="10" t="n">
        <v>24331.77196691</v>
      </c>
      <c r="Z7" s="10" t="n">
        <v>3495.21905723</v>
      </c>
      <c r="AA7" s="10" t="n">
        <v>3602.6</v>
      </c>
      <c r="AB7" s="10" t="n">
        <v>6835.12983674</v>
      </c>
      <c r="AC7" s="10" t="n">
        <v>14132.06804664</v>
      </c>
      <c r="AD7" s="10" t="n">
        <v>35425.47639054</v>
      </c>
      <c r="AE7" s="10" t="n">
        <v>274484.55269607</v>
      </c>
      <c r="AF7" t="n">
        <v>197702.42149648</v>
      </c>
      <c r="AG7" t="n">
        <v>365617.417614</v>
      </c>
    </row>
    <row r="8">
      <c r="A8" s="9" t="inlineStr">
        <is>
          <t>Rentas de la propiedad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n">
        <v>13.82527424</v>
      </c>
      <c r="I8" s="10" t="inlineStr">
        <is>
          <t>-</t>
        </is>
      </c>
      <c r="J8" s="10" t="n">
        <v>14.78384714</v>
      </c>
      <c r="K8" s="10" t="n">
        <v>14.29011632</v>
      </c>
      <c r="L8" s="10" t="n">
        <v>41.93334511</v>
      </c>
      <c r="M8" s="10" t="n">
        <v>76.5366073</v>
      </c>
      <c r="N8" s="10" t="n">
        <v>21.91207091</v>
      </c>
      <c r="O8" s="10" t="n">
        <v>38.08327946</v>
      </c>
      <c r="P8" s="10" t="n">
        <v>10.87703385</v>
      </c>
      <c r="Q8" s="10" t="n">
        <v>77.48</v>
      </c>
      <c r="R8" s="10" t="n">
        <v>108.397713</v>
      </c>
      <c r="S8" s="10" t="n">
        <v>133.91044871</v>
      </c>
      <c r="T8" s="10" t="n">
        <v>140.178796</v>
      </c>
      <c r="U8" s="10" t="n">
        <v>300.451746</v>
      </c>
      <c r="V8" s="10" t="n">
        <v>117.006327</v>
      </c>
      <c r="W8" s="10" t="n">
        <v>835.683584</v>
      </c>
      <c r="X8" s="10" t="n">
        <v>410.07804</v>
      </c>
      <c r="Y8" s="10" t="n">
        <v>1363.13189275</v>
      </c>
      <c r="Z8" s="10" t="n">
        <v>3799.15045905</v>
      </c>
      <c r="AA8" s="10" t="n">
        <v>3601.4</v>
      </c>
      <c r="AB8" s="10" t="n">
        <v>1787.56780902</v>
      </c>
      <c r="AC8" s="10" t="n">
        <v>22431.52865623</v>
      </c>
      <c r="AD8" s="10" t="n">
        <v>195029.37097476</v>
      </c>
      <c r="AE8" s="10" t="n">
        <v>723130.40410591</v>
      </c>
      <c r="AF8" t="n">
        <v>527668.14497217</v>
      </c>
      <c r="AG8" t="n">
        <v>951290.90146</v>
      </c>
    </row>
    <row r="9">
      <c r="A9" s="9" t="inlineStr">
        <is>
          <t>Transferencias corrientes</t>
        </is>
      </c>
      <c r="B9" s="10" t="n">
        <v>31.26</v>
      </c>
      <c r="C9" s="10" t="n">
        <v>36.8</v>
      </c>
      <c r="D9" s="10" t="inlineStr">
        <is>
          <t>-</t>
        </is>
      </c>
      <c r="E9" s="10" t="n">
        <v>217.39</v>
      </c>
      <c r="F9" s="10" t="n">
        <v>59.9</v>
      </c>
      <c r="G9" s="10" t="n">
        <v>87.26000000000001</v>
      </c>
      <c r="H9" s="10" t="n">
        <v>52.15743585</v>
      </c>
      <c r="I9" s="10" t="n">
        <v>57.42110962</v>
      </c>
      <c r="J9" s="10" t="n">
        <v>143.80353543</v>
      </c>
      <c r="K9" s="10" t="n">
        <v>669.83448922</v>
      </c>
      <c r="L9" s="10" t="n">
        <v>785.6891148899999</v>
      </c>
      <c r="M9" s="10" t="n">
        <v>153.71864848</v>
      </c>
      <c r="N9" s="10" t="n">
        <v>190.90412303</v>
      </c>
      <c r="O9" s="10" t="n">
        <v>163.25968905</v>
      </c>
      <c r="P9" s="10" t="n">
        <v>217.18454045</v>
      </c>
      <c r="Q9" s="10" t="n">
        <v>266.21</v>
      </c>
      <c r="R9" s="10" t="n">
        <v>344.95241</v>
      </c>
      <c r="S9" s="10" t="n">
        <v>614.21089284</v>
      </c>
      <c r="T9" s="10" t="n">
        <v>479.83876</v>
      </c>
      <c r="U9" s="10" t="n">
        <v>589.3793089999998</v>
      </c>
      <c r="V9" s="10" t="n">
        <v>716.6737899999999</v>
      </c>
      <c r="W9" s="10" t="n">
        <v>1535.291686</v>
      </c>
      <c r="X9" s="10" t="n">
        <v>4190.936081</v>
      </c>
      <c r="Y9" s="10" t="n">
        <v>3651.76751947</v>
      </c>
      <c r="Z9" s="10" t="n">
        <v>9824.57335395</v>
      </c>
      <c r="AA9" s="10" t="n">
        <v>7240.1</v>
      </c>
      <c r="AB9" s="10" t="n">
        <v>42816.47871618</v>
      </c>
      <c r="AC9" s="10" t="n">
        <v>72476.74784350999</v>
      </c>
      <c r="AD9" s="10" t="n">
        <v>55493.37111708999</v>
      </c>
      <c r="AE9" s="10" t="n">
        <v>580424.23137449</v>
      </c>
      <c r="AF9" t="n">
        <v>1139100.73707263</v>
      </c>
      <c r="AG9" t="n">
        <v>3017533.491405</v>
      </c>
    </row>
    <row r="10">
      <c r="A10" s="7" t="inlineStr">
        <is>
          <t>2) Gastos corrientes</t>
        </is>
      </c>
      <c r="B10" s="8" t="n">
        <v>2440.1</v>
      </c>
      <c r="C10" s="8" t="n">
        <v>2456.6</v>
      </c>
      <c r="D10" s="8" t="n">
        <v>2603.914199</v>
      </c>
      <c r="E10" s="8" t="n">
        <v>2535.47596374</v>
      </c>
      <c r="F10" s="8" t="n">
        <v>2685.63590178</v>
      </c>
      <c r="G10" s="8" t="n">
        <v>2823.37</v>
      </c>
      <c r="H10" s="8" t="n">
        <v>2863.578717429999</v>
      </c>
      <c r="I10" s="8" t="n">
        <v>2819.28797094</v>
      </c>
      <c r="J10" s="8" t="n">
        <v>3052.46679763</v>
      </c>
      <c r="K10" s="8" t="n">
        <v>3597.35484971</v>
      </c>
      <c r="L10" s="8" t="n">
        <v>4603.12443363</v>
      </c>
      <c r="M10" s="8" t="n">
        <v>6491.335504712705</v>
      </c>
      <c r="N10" s="8" t="n">
        <v>8278.94437152</v>
      </c>
      <c r="O10" s="8" t="n">
        <v>10667.73292577</v>
      </c>
      <c r="P10" s="8" t="n">
        <v>13338.41361416</v>
      </c>
      <c r="Q10" s="11" t="n">
        <v>16308.18</v>
      </c>
      <c r="R10" s="12" t="n">
        <v>22370.528541</v>
      </c>
      <c r="S10" s="12" t="n">
        <v>29526.58724357</v>
      </c>
      <c r="T10" s="12" t="n">
        <v>40180.71823699999</v>
      </c>
      <c r="U10" s="13" t="n">
        <v>53897.08031017</v>
      </c>
      <c r="V10" s="14" t="n">
        <v>74892.52209499999</v>
      </c>
      <c r="W10" s="8" t="n">
        <v>113988.397601</v>
      </c>
      <c r="X10" s="8" t="n">
        <v>150167.767477</v>
      </c>
      <c r="Y10" s="8" t="n">
        <v>192822.93614361</v>
      </c>
      <c r="Z10" s="8" t="n">
        <v>280308.4890320899</v>
      </c>
      <c r="AA10" s="8" t="n">
        <v>391261.5</v>
      </c>
      <c r="AB10" s="8" t="n">
        <v>563655.8940588799</v>
      </c>
      <c r="AC10" s="8" t="n">
        <v>971054.4199320398</v>
      </c>
      <c r="AD10" s="8" t="n">
        <v>2486215.73797719</v>
      </c>
      <c r="AE10" s="8" t="n">
        <v>7594736.48325996</v>
      </c>
      <c r="AF10" t="n">
        <v>11028859.5921231</v>
      </c>
      <c r="AG10" t="n">
        <v>19176736.17378</v>
      </c>
    </row>
    <row r="11">
      <c r="A11" s="9" t="inlineStr">
        <is>
          <t>Remuneraciones al personal</t>
        </is>
      </c>
      <c r="B11" s="10" t="n">
        <v>1624.6</v>
      </c>
      <c r="C11" s="10" t="n">
        <v>1651.6</v>
      </c>
      <c r="D11" s="10" t="n">
        <v>1723.3</v>
      </c>
      <c r="E11" s="10" t="n">
        <v>1656.57745848</v>
      </c>
      <c r="F11" s="10" t="n">
        <v>1733.98381158</v>
      </c>
      <c r="G11" s="10" t="n">
        <v>1802.81</v>
      </c>
      <c r="H11" s="10" t="n">
        <v>1825.71785778</v>
      </c>
      <c r="I11" s="10" t="n">
        <v>1776.47779548</v>
      </c>
      <c r="J11" s="10" t="n">
        <v>1798.28411993</v>
      </c>
      <c r="K11" s="10" t="n">
        <v>2036.21561161</v>
      </c>
      <c r="L11" s="10" t="n">
        <v>2733.00012389</v>
      </c>
      <c r="M11" s="10" t="n">
        <v>3941.9713509</v>
      </c>
      <c r="N11" s="10" t="n">
        <v>5047.53853993</v>
      </c>
      <c r="O11" s="10" t="n">
        <v>6577.039795199999</v>
      </c>
      <c r="P11" s="10" t="n">
        <v>8112.01394359</v>
      </c>
      <c r="Q11" s="10" t="n">
        <v>9805.66</v>
      </c>
      <c r="R11" s="10" t="n">
        <v>13264.603924</v>
      </c>
      <c r="S11" s="10" t="n">
        <v>17340.62832099</v>
      </c>
      <c r="T11" s="10" t="n">
        <v>23215.409649</v>
      </c>
      <c r="U11" s="15" t="n">
        <v>30778.43760036</v>
      </c>
      <c r="V11" s="10" t="n">
        <v>42188.224372</v>
      </c>
      <c r="W11" s="10" t="n">
        <v>69381.121472</v>
      </c>
      <c r="X11" s="10" t="n">
        <v>89185.564025</v>
      </c>
      <c r="Y11" s="10" t="n">
        <v>114224.97847127</v>
      </c>
      <c r="Z11" s="10" t="n">
        <v>162083.30355236</v>
      </c>
      <c r="AA11" s="10" t="n">
        <v>218745.1</v>
      </c>
      <c r="AB11" s="10" t="n">
        <v>305858.04815742</v>
      </c>
      <c r="AC11" s="10" t="n">
        <v>528442.4968013499</v>
      </c>
      <c r="AD11" s="10" t="n">
        <v>1361908.4699566</v>
      </c>
      <c r="AE11" s="10" t="n">
        <v>4044771.759346759</v>
      </c>
      <c r="AF11" t="n">
        <v>5827652.94563463</v>
      </c>
      <c r="AG11" t="n">
        <v>9950480.728332</v>
      </c>
    </row>
    <row r="12">
      <c r="A12" s="9" t="inlineStr">
        <is>
          <t>Gastos de consumo</t>
        </is>
      </c>
      <c r="B12" s="10" t="n">
        <v>578.12</v>
      </c>
      <c r="C12" s="10" t="n">
        <v>665.5</v>
      </c>
      <c r="D12" s="10" t="n">
        <v>641.8</v>
      </c>
      <c r="E12" s="10" t="n">
        <v>638.9045281</v>
      </c>
      <c r="F12" s="10" t="n">
        <v>671.2881291299999</v>
      </c>
      <c r="G12" s="10" t="n">
        <v>709.3200000000001</v>
      </c>
      <c r="H12" s="10" t="n">
        <v>725.3572321099999</v>
      </c>
      <c r="I12" s="10" t="n">
        <v>717.74175889</v>
      </c>
      <c r="J12" s="10" t="n">
        <v>916.12926849</v>
      </c>
      <c r="K12" s="10" t="n">
        <v>1110.54409299</v>
      </c>
      <c r="L12" s="10" t="n">
        <v>1232.27861713</v>
      </c>
      <c r="M12" s="10" t="n">
        <v>1646.93839839</v>
      </c>
      <c r="N12" s="10" t="n">
        <v>2020.35658234</v>
      </c>
      <c r="O12" s="10" t="n">
        <v>2508.05626065</v>
      </c>
      <c r="P12" s="10" t="n">
        <v>3226.50890186</v>
      </c>
      <c r="Q12" s="10" t="n">
        <v>4147.71</v>
      </c>
      <c r="R12" s="10" t="n">
        <v>5806.216103</v>
      </c>
      <c r="S12" s="10" t="n">
        <v>7894.40374172</v>
      </c>
      <c r="T12" s="10" t="n">
        <v>10430.207687</v>
      </c>
      <c r="U12" s="15" t="n">
        <v>14987.60722955</v>
      </c>
      <c r="V12" s="10" t="n">
        <v>21584.905349</v>
      </c>
      <c r="W12" s="10" t="n">
        <v>29067.985005</v>
      </c>
      <c r="X12" s="10" t="n">
        <v>41735.617739</v>
      </c>
      <c r="Y12" s="10" t="n">
        <v>54786.67529669999</v>
      </c>
      <c r="Z12" s="10" t="n">
        <v>75313.36848092999</v>
      </c>
      <c r="AA12" s="10" t="n">
        <v>110101.4</v>
      </c>
      <c r="AB12" s="10" t="n">
        <v>169684.49814342</v>
      </c>
      <c r="AC12" s="10" t="n">
        <v>289988.98575563</v>
      </c>
      <c r="AD12" s="10" t="n">
        <v>746988.4500353399</v>
      </c>
      <c r="AE12" s="10" t="n">
        <v>2406217.96187354</v>
      </c>
      <c r="AF12" t="n">
        <v>3566209.43366706</v>
      </c>
      <c r="AG12" t="n">
        <v>6428377.453576</v>
      </c>
    </row>
    <row r="13">
      <c r="A13" s="16" t="inlineStr">
        <is>
          <t xml:space="preserve">    Otras Pérdidas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inlineStr">
        <is>
          <t>-</t>
        </is>
      </c>
      <c r="V13" s="10" t="inlineStr">
        <is>
          <t>-</t>
        </is>
      </c>
      <c r="W13" s="10" t="n">
        <v>0.26</v>
      </c>
      <c r="X13" s="10" t="n">
        <v>2.652</v>
      </c>
      <c r="Y13" s="10" t="n">
        <v>110.81549978</v>
      </c>
      <c r="Z13" s="10" t="n">
        <v>121.34963632</v>
      </c>
      <c r="AA13" s="10" t="n">
        <v>53.4</v>
      </c>
      <c r="AB13" s="10" t="n">
        <v>19.59246705</v>
      </c>
      <c r="AC13" s="10" t="n">
        <v>1363.39953996</v>
      </c>
      <c r="AD13" s="10" t="n">
        <v>59.56196156</v>
      </c>
      <c r="AE13" s="10" t="n">
        <v>861.2098148099999</v>
      </c>
      <c r="AF13" t="n">
        <v>11.38529215</v>
      </c>
    </row>
    <row r="14">
      <c r="A14" s="9" t="inlineStr">
        <is>
          <t>Impuestos directos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n">
        <v>0.49879241</v>
      </c>
      <c r="J14" s="10" t="n">
        <v>0.08225811</v>
      </c>
      <c r="K14" s="10" t="n">
        <v>0.16628335</v>
      </c>
      <c r="L14" s="10" t="n">
        <v>0.08648586</v>
      </c>
      <c r="M14" s="8" t="n">
        <v>4.270512999999999e-08</v>
      </c>
      <c r="N14" s="10" t="n">
        <v>0.0252402</v>
      </c>
      <c r="O14" s="8" t="n">
        <v>1.248418</v>
      </c>
      <c r="P14" s="8" t="n">
        <v>0.007040879999999999</v>
      </c>
      <c r="Q14" s="10" t="inlineStr">
        <is>
          <t>-</t>
        </is>
      </c>
      <c r="R14" s="10" t="inlineStr">
        <is>
          <t>-</t>
        </is>
      </c>
      <c r="S14" s="10" t="n">
        <v>0.29920095</v>
      </c>
      <c r="T14" s="10" t="inlineStr">
        <is>
          <t>-</t>
        </is>
      </c>
      <c r="U14" s="15" t="n">
        <v>0.02442475</v>
      </c>
      <c r="V14" s="10" t="n">
        <v>0.213474</v>
      </c>
      <c r="W14" s="10" t="n">
        <v>0.001395</v>
      </c>
      <c r="X14" s="10" t="n">
        <v>0.060172</v>
      </c>
      <c r="Y14" s="10" t="n">
        <v>12.55965871</v>
      </c>
      <c r="Z14" s="10" t="n">
        <v>42.55263884</v>
      </c>
      <c r="AA14" s="10" t="n">
        <v>23.6</v>
      </c>
      <c r="AB14" s="10" t="n">
        <v>1.87834995</v>
      </c>
      <c r="AC14" s="10" t="n">
        <v>21.40075559</v>
      </c>
      <c r="AD14" s="10" t="n">
        <v>73.51250904</v>
      </c>
      <c r="AE14" s="10" t="n">
        <v>286.17389915</v>
      </c>
      <c r="AF14" t="n">
        <v>304.59181046</v>
      </c>
    </row>
    <row r="15">
      <c r="A15" s="9" t="inlineStr">
        <is>
          <t>Transferencias corrientes</t>
        </is>
      </c>
      <c r="B15" s="10" t="n">
        <v>237.38</v>
      </c>
      <c r="C15" s="10" t="n">
        <v>139.5</v>
      </c>
      <c r="D15" s="10" t="n">
        <v>238.814199</v>
      </c>
      <c r="E15" s="10" t="n">
        <v>239.99397716</v>
      </c>
      <c r="F15" s="10" t="n">
        <v>280.36396107</v>
      </c>
      <c r="G15" s="10" t="n">
        <v>311.24</v>
      </c>
      <c r="H15" s="10" t="n">
        <v>312.50362754</v>
      </c>
      <c r="I15" s="10" t="n">
        <v>324.56962416</v>
      </c>
      <c r="J15" s="10" t="n">
        <v>337.9711511</v>
      </c>
      <c r="K15" s="10" t="n">
        <v>450.42886176</v>
      </c>
      <c r="L15" s="10" t="n">
        <v>637.75920675</v>
      </c>
      <c r="M15" s="10" t="n">
        <v>902.4257553799999</v>
      </c>
      <c r="N15" s="10" t="n">
        <v>1211.02400905</v>
      </c>
      <c r="O15" s="10" t="n">
        <v>1581.38845192</v>
      </c>
      <c r="P15" s="10" t="n">
        <v>1999.88372783</v>
      </c>
      <c r="Q15" s="10" t="n">
        <v>2354.81</v>
      </c>
      <c r="R15" s="10" t="n">
        <v>3299.708514</v>
      </c>
      <c r="S15" s="10" t="n">
        <v>4291.25597991</v>
      </c>
      <c r="T15" s="10" t="n">
        <v>6535.100901</v>
      </c>
      <c r="U15" s="15" t="n">
        <v>8131.01105551</v>
      </c>
      <c r="V15" s="15" t="n">
        <v>11119.1789</v>
      </c>
      <c r="W15" s="17" t="n">
        <v>15539.029729</v>
      </c>
      <c r="X15" s="17" t="n">
        <v>19243.873541</v>
      </c>
      <c r="Y15" s="10" t="n">
        <v>23687.90721715</v>
      </c>
      <c r="Z15" s="10" t="n">
        <v>42747.91472363999</v>
      </c>
      <c r="AA15" s="10" t="n">
        <v>62338</v>
      </c>
      <c r="AB15" s="10" t="n">
        <v>88091.87694103998</v>
      </c>
      <c r="AC15" s="10" t="n">
        <v>151238.13707951</v>
      </c>
      <c r="AD15" s="10" t="n">
        <v>377185.74351465</v>
      </c>
      <c r="AE15" s="10" t="n">
        <v>1142599.3783257</v>
      </c>
      <c r="AF15" t="n">
        <v>1634681.2357188</v>
      </c>
      <c r="AG15" t="n">
        <v>2797877.991872</v>
      </c>
    </row>
    <row r="16">
      <c r="A16" s="7" t="inlineStr">
        <is>
          <t>3) Resultado económico (1-2)</t>
        </is>
      </c>
      <c r="B16" s="8" t="n">
        <v>227.25</v>
      </c>
      <c r="C16" s="8" t="n">
        <v>262.8000000000002</v>
      </c>
      <c r="D16" s="8" t="n">
        <v>206.8577406600002</v>
      </c>
      <c r="E16" s="8" t="n">
        <v>588.7140362599998</v>
      </c>
      <c r="F16" s="8" t="n">
        <v>509.5540982200009</v>
      </c>
      <c r="G16" s="8" t="n">
        <v>395.71</v>
      </c>
      <c r="H16" s="8" t="n">
        <v>63.75998436000054</v>
      </c>
      <c r="I16" s="8" t="n">
        <v>60.68254862999993</v>
      </c>
      <c r="J16" s="8" t="n">
        <v>939.8954021199993</v>
      </c>
      <c r="K16" s="8" t="n">
        <v>1541.310236530001</v>
      </c>
      <c r="L16" s="8" t="n">
        <v>1492.882270790001</v>
      </c>
      <c r="M16" s="8" t="n">
        <v>1041.183913267294</v>
      </c>
      <c r="N16" s="8" t="n">
        <v>1252.800815690001</v>
      </c>
      <c r="O16" s="8" t="n">
        <v>2034.84056794</v>
      </c>
      <c r="P16" s="8" t="n">
        <v>1577.578876849999</v>
      </c>
      <c r="Q16" s="8" t="n">
        <v>3108.160000000002</v>
      </c>
      <c r="R16" s="8" t="n">
        <v>3394.821459999999</v>
      </c>
      <c r="S16" s="8" t="n">
        <v>3777.714851789999</v>
      </c>
      <c r="T16" s="8" t="n">
        <v>7168.215300000011</v>
      </c>
      <c r="U16" s="13" t="n">
        <v>9816.385682829998</v>
      </c>
      <c r="V16" s="14" t="n">
        <v>6057.246350000001</v>
      </c>
      <c r="W16" s="8" t="n">
        <v>14704.06554963998</v>
      </c>
      <c r="X16" s="8" t="n">
        <v>30114.28647899997</v>
      </c>
      <c r="Y16" s="8" t="n">
        <v>76311.24945213</v>
      </c>
      <c r="Z16" s="8" t="n">
        <v>70670.05144004006</v>
      </c>
      <c r="AA16" s="8" t="n">
        <v>43892.7</v>
      </c>
      <c r="AB16" s="8" t="n">
        <v>113418.1012673801</v>
      </c>
      <c r="AC16" s="8" t="n">
        <v>335199.4512581403</v>
      </c>
      <c r="AD16" s="8" t="n">
        <v>813968.6408389197</v>
      </c>
      <c r="AE16" s="8" t="n">
        <v>1831720.292239168</v>
      </c>
      <c r="AF16" t="n">
        <v>2425388.86137131</v>
      </c>
      <c r="AG16" t="n">
        <v>4915745.270121</v>
      </c>
    </row>
    <row r="17">
      <c r="A17" s="7" t="inlineStr">
        <is>
          <t>4) Recursos de capital</t>
        </is>
      </c>
      <c r="B17" s="8" t="n">
        <v>1.64</v>
      </c>
      <c r="C17" s="8" t="n">
        <v>4.3</v>
      </c>
      <c r="D17" s="8" t="n">
        <v>0.6</v>
      </c>
      <c r="E17" s="8" t="n">
        <v>0.293266</v>
      </c>
      <c r="F17" s="8" t="n">
        <v>0.3</v>
      </c>
      <c r="G17" s="8" t="n">
        <v>0.263</v>
      </c>
      <c r="H17" s="8" t="n">
        <v>0.24662772</v>
      </c>
      <c r="I17" s="8" t="n">
        <v>54.47759699</v>
      </c>
      <c r="J17" s="8" t="n">
        <v>12.57886525</v>
      </c>
      <c r="K17" s="8" t="n">
        <v>6.82851282</v>
      </c>
      <c r="L17" s="8" t="n">
        <v>70.99316715</v>
      </c>
      <c r="M17" s="8" t="n">
        <v>72.52723268999999</v>
      </c>
      <c r="N17" s="8" t="n">
        <v>49.5383877</v>
      </c>
      <c r="O17" s="8" t="n">
        <v>56.7744343452784</v>
      </c>
      <c r="P17" s="8" t="n">
        <v>177.14894636</v>
      </c>
      <c r="Q17" s="8" t="n">
        <v>573.8199999999999</v>
      </c>
      <c r="R17" s="8" t="n">
        <v>480.695637</v>
      </c>
      <c r="S17" s="8" t="n">
        <v>459.52582761</v>
      </c>
      <c r="T17" s="8" t="n">
        <v>443.585878</v>
      </c>
      <c r="U17" s="13" t="n">
        <v>647.6129099999999</v>
      </c>
      <c r="V17" s="14" t="n">
        <v>757.6322379999999</v>
      </c>
      <c r="W17" s="8" t="n">
        <v>871.8047859999999</v>
      </c>
      <c r="X17" s="8" t="n">
        <v>3212.936454</v>
      </c>
      <c r="Y17" s="8" t="n">
        <v>6781.360742059999</v>
      </c>
      <c r="Z17" s="8" t="n">
        <v>14074.50376806</v>
      </c>
      <c r="AA17" s="8" t="n">
        <v>6196.4</v>
      </c>
      <c r="AB17" s="8" t="n">
        <v>3838.09661763</v>
      </c>
      <c r="AC17" s="8" t="n">
        <v>20201.93530287</v>
      </c>
      <c r="AD17" s="8" t="n">
        <v>42837.20261956999</v>
      </c>
      <c r="AE17" s="8" t="n">
        <v>5315.10112187</v>
      </c>
      <c r="AF17" t="n">
        <v>15929.11056092</v>
      </c>
      <c r="AG17" t="n">
        <v>3175.598228</v>
      </c>
    </row>
    <row r="18">
      <c r="A18" s="9" t="inlineStr">
        <is>
          <t>Recursos propios de capital</t>
        </is>
      </c>
      <c r="B18" s="10" t="n">
        <v>1.64</v>
      </c>
      <c r="C18" s="10" t="n">
        <v>4.3</v>
      </c>
      <c r="D18" s="10" t="n">
        <v>0.6</v>
      </c>
      <c r="E18" s="10" t="n">
        <v>0.293266</v>
      </c>
      <c r="F18" s="10" t="n">
        <v>0.3</v>
      </c>
      <c r="G18" s="10" t="n">
        <v>0.263</v>
      </c>
      <c r="H18" s="10" t="n">
        <v>0.24662772</v>
      </c>
      <c r="I18" s="10" t="n">
        <v>0.18928577</v>
      </c>
      <c r="J18" s="10" t="n">
        <v>0.47622225</v>
      </c>
      <c r="K18" s="10" t="n">
        <v>0.36340658</v>
      </c>
      <c r="L18" s="10" t="n">
        <v>1.69122418</v>
      </c>
      <c r="M18" s="10" t="n">
        <v>2.05590994</v>
      </c>
      <c r="N18" s="10" t="n">
        <v>0.5347527399999999</v>
      </c>
      <c r="O18" s="10" t="n">
        <v>0.30267503</v>
      </c>
      <c r="P18" s="10" t="n">
        <v>21.31075688</v>
      </c>
      <c r="Q18" s="10" t="n">
        <v>307.21</v>
      </c>
      <c r="R18" s="18" t="n">
        <v>137.228156</v>
      </c>
      <c r="S18" s="10" t="n">
        <v>39.23400711</v>
      </c>
      <c r="T18" s="10" t="n">
        <v>43.772189</v>
      </c>
      <c r="U18" s="15" t="n">
        <v>95.844505</v>
      </c>
      <c r="V18" s="10" t="n">
        <v>99.47121899999999</v>
      </c>
      <c r="W18" s="10" t="n">
        <v>171.760354</v>
      </c>
      <c r="X18" s="10" t="n">
        <v>939.7883419999999</v>
      </c>
      <c r="Y18" s="10" t="n">
        <v>591.1478</v>
      </c>
      <c r="Z18" s="10" t="n">
        <v>8251.9931664</v>
      </c>
      <c r="AA18" s="10" t="n">
        <v>5581.6</v>
      </c>
      <c r="AB18" s="10" t="n">
        <v>3513.33086089</v>
      </c>
      <c r="AC18" s="10" t="n">
        <v>17101.00529022</v>
      </c>
      <c r="AD18" s="10" t="n">
        <v>37797.99366866999</v>
      </c>
      <c r="AE18" s="10" t="n">
        <v>805.2150127699999</v>
      </c>
      <c r="AF18" t="n">
        <v>9119.9404481</v>
      </c>
      <c r="AG18" t="n">
        <v>0</v>
      </c>
    </row>
    <row r="19">
      <c r="A19" s="9" t="inlineStr">
        <is>
          <t>Transferencias de capital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n">
        <v>54.28831122</v>
      </c>
      <c r="J19" s="10" t="n">
        <v>12.102643</v>
      </c>
      <c r="K19" s="10" t="inlineStr">
        <is>
          <t>-</t>
        </is>
      </c>
      <c r="L19" s="10" t="n">
        <v>51.49331539999999</v>
      </c>
      <c r="M19" s="10" t="n">
        <v>51.68024859</v>
      </c>
      <c r="N19" s="10" t="n">
        <v>32.6336395</v>
      </c>
      <c r="O19" s="10" t="n">
        <v>56.47022825</v>
      </c>
      <c r="P19" s="10" t="n">
        <v>102.30158697</v>
      </c>
      <c r="Q19" s="10" t="n">
        <v>234.22</v>
      </c>
      <c r="R19" s="10" t="n">
        <v>252.092843</v>
      </c>
      <c r="S19" s="10" t="n">
        <v>219.10990465</v>
      </c>
      <c r="T19" s="10" t="n">
        <v>281.332811</v>
      </c>
      <c r="U19" s="15" t="n">
        <v>408.2352709999999</v>
      </c>
      <c r="V19" s="10" t="n">
        <v>403.530161</v>
      </c>
      <c r="W19" s="10" t="n">
        <v>535.467313</v>
      </c>
      <c r="X19" s="10" t="n">
        <v>1588.210657</v>
      </c>
      <c r="Y19" s="10" t="n">
        <v>5556.79791331</v>
      </c>
      <c r="Z19" s="10" t="n">
        <v>5410.044034779999</v>
      </c>
      <c r="AA19" s="10" t="n">
        <v>416.3</v>
      </c>
      <c r="AB19" s="10" t="n">
        <v>156.59814516</v>
      </c>
      <c r="AC19" s="10" t="n">
        <v>2713.97476971</v>
      </c>
      <c r="AD19" s="10" t="n">
        <v>4604.79609764</v>
      </c>
      <c r="AE19" s="10" t="n">
        <v>3835.7102644</v>
      </c>
      <c r="AF19" t="n">
        <v>4596.395788939999</v>
      </c>
      <c r="AG19" t="n">
        <v>0</v>
      </c>
    </row>
    <row r="20">
      <c r="A20" s="9" t="inlineStr">
        <is>
          <t xml:space="preserve">Disminución de la inversión financiera 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n">
        <v>0.8854474399999999</v>
      </c>
      <c r="K20" s="10" t="n">
        <v>6.46510624</v>
      </c>
      <c r="L20" s="10" t="n">
        <v>17.80862757</v>
      </c>
      <c r="M20" s="10" t="n">
        <v>18.79107416</v>
      </c>
      <c r="N20" s="10" t="n">
        <v>16.36999546</v>
      </c>
      <c r="O20" s="10" t="n">
        <v>0.0015310652784</v>
      </c>
      <c r="P20" s="10" t="n">
        <v>53.53660250999999</v>
      </c>
      <c r="Q20" s="10" t="n">
        <v>32.39</v>
      </c>
      <c r="R20" s="10" t="n">
        <v>91.374638</v>
      </c>
      <c r="S20" s="10" t="n">
        <v>201.18191585</v>
      </c>
      <c r="T20" s="10" t="n">
        <v>118.480878</v>
      </c>
      <c r="U20" s="15" t="n">
        <v>143.533134</v>
      </c>
      <c r="V20" s="10" t="n">
        <v>254.630858</v>
      </c>
      <c r="W20" s="10" t="n">
        <v>164.577119</v>
      </c>
      <c r="X20" s="10" t="n">
        <v>684.937455</v>
      </c>
      <c r="Y20" s="10" t="n">
        <v>633.4150287499999</v>
      </c>
      <c r="Z20" s="10" t="n">
        <v>412.46656688</v>
      </c>
      <c r="AA20" s="10" t="n">
        <v>198.5</v>
      </c>
      <c r="AB20" s="10" t="n">
        <v>168.16761158</v>
      </c>
      <c r="AC20" s="10" t="n">
        <v>386.95524294</v>
      </c>
      <c r="AD20" s="10" t="n">
        <v>434.41285326</v>
      </c>
      <c r="AE20" s="10" t="n">
        <v>674.1758447</v>
      </c>
      <c r="AF20" t="n">
        <v>2212.77432388</v>
      </c>
      <c r="AG20" t="n">
        <v>3175.598228</v>
      </c>
    </row>
    <row r="21">
      <c r="A21" s="7" t="inlineStr">
        <is>
          <t>5) Gastos de capital</t>
        </is>
      </c>
      <c r="B21" s="8" t="n">
        <v>226.84</v>
      </c>
      <c r="C21" s="8" t="n">
        <v>269.5</v>
      </c>
      <c r="D21" s="8" t="n">
        <v>247.23719978</v>
      </c>
      <c r="E21" s="8" t="n">
        <v>219.36743427</v>
      </c>
      <c r="F21" s="8" t="n">
        <v>314.06</v>
      </c>
      <c r="G21" s="8" t="n">
        <v>236.554</v>
      </c>
      <c r="H21" s="8" t="n">
        <v>244.93875201</v>
      </c>
      <c r="I21" s="8" t="n">
        <v>144.85460679</v>
      </c>
      <c r="J21" s="8" t="n">
        <v>321.58118299</v>
      </c>
      <c r="K21" s="8" t="n">
        <v>554.95010895</v>
      </c>
      <c r="L21" s="8" t="n">
        <v>1075.81961144</v>
      </c>
      <c r="M21" s="8" t="n">
        <v>1594.94449681</v>
      </c>
      <c r="N21" s="8" t="n">
        <v>1514.69528294</v>
      </c>
      <c r="O21" s="8" t="n">
        <v>2625.59641794</v>
      </c>
      <c r="P21" s="8" t="n">
        <v>2409.87327008</v>
      </c>
      <c r="Q21" s="8" t="n">
        <v>3240.75</v>
      </c>
      <c r="R21" s="8" t="n">
        <v>4307.135389000001</v>
      </c>
      <c r="S21" s="8" t="n">
        <v>5227.06254383</v>
      </c>
      <c r="T21" s="8" t="n">
        <v>9939.770321999998</v>
      </c>
      <c r="U21" s="13" t="n">
        <v>13689.954252</v>
      </c>
      <c r="V21" s="14" t="n">
        <v>12614.642364</v>
      </c>
      <c r="W21" s="8" t="n">
        <v>25711.67244</v>
      </c>
      <c r="X21" s="8" t="n">
        <v>40310.179089</v>
      </c>
      <c r="Y21" s="8" t="n">
        <v>51249.77919172</v>
      </c>
      <c r="Z21" s="8" t="n">
        <v>71534.45432545998</v>
      </c>
      <c r="AA21" s="8" t="n">
        <v>55746.4</v>
      </c>
      <c r="AB21" s="8" t="n">
        <v>89527.01359872999</v>
      </c>
      <c r="AC21" s="8" t="n">
        <v>182395.00579113</v>
      </c>
      <c r="AD21" s="8" t="n">
        <v>544006.50893831</v>
      </c>
      <c r="AE21" s="8" t="n">
        <v>1494643.69466022</v>
      </c>
      <c r="AF21" t="n">
        <v>2615220.59248711</v>
      </c>
      <c r="AG21" t="n">
        <v>4325717.119862</v>
      </c>
    </row>
    <row r="22">
      <c r="A22" s="9" t="inlineStr">
        <is>
          <t>Inversión real directa</t>
        </is>
      </c>
      <c r="B22" s="10" t="n">
        <v>222.49</v>
      </c>
      <c r="C22" s="10" t="n">
        <v>262.3</v>
      </c>
      <c r="D22" s="8" t="n">
        <v>143.89719978</v>
      </c>
      <c r="E22" s="10" t="n">
        <v>214.63858706</v>
      </c>
      <c r="F22" s="10" t="n">
        <v>301.23</v>
      </c>
      <c r="G22" s="10" t="n">
        <v>221.968</v>
      </c>
      <c r="H22" s="10" t="n">
        <v>219.20988742</v>
      </c>
      <c r="I22" s="10" t="n">
        <v>137.51422979</v>
      </c>
      <c r="J22" s="10" t="n">
        <v>266.80285925</v>
      </c>
      <c r="K22" s="10" t="n">
        <v>385.85533776</v>
      </c>
      <c r="L22" s="10" t="n">
        <v>891.4396043900001</v>
      </c>
      <c r="M22" s="10" t="n">
        <v>1410.01568297</v>
      </c>
      <c r="N22" s="10" t="n">
        <v>1437.093067</v>
      </c>
      <c r="O22" s="10" t="n">
        <v>2518.56825501</v>
      </c>
      <c r="P22" s="10" t="n">
        <v>2332.00834252</v>
      </c>
      <c r="Q22" s="10" t="n">
        <v>2925.69</v>
      </c>
      <c r="R22" s="10" t="n">
        <v>4148.251914</v>
      </c>
      <c r="S22" s="10" t="n">
        <v>5019.79434504</v>
      </c>
      <c r="T22" s="10" t="n">
        <v>9262.622644999999</v>
      </c>
      <c r="U22" s="15" t="n">
        <v>12092.422422</v>
      </c>
      <c r="V22" s="15" t="n">
        <v>12339.342305</v>
      </c>
      <c r="W22" s="10" t="n">
        <v>25225.358856</v>
      </c>
      <c r="X22" s="10" t="n">
        <v>39870.752807</v>
      </c>
      <c r="Y22" s="10" t="n">
        <v>50236.47460505</v>
      </c>
      <c r="Z22" s="10" t="n">
        <v>70867.27597696999</v>
      </c>
      <c r="AA22" s="10" t="n">
        <v>55118.5</v>
      </c>
      <c r="AB22" s="10" t="n">
        <v>88490.48200311</v>
      </c>
      <c r="AC22" s="10" t="n">
        <v>180881.34867525</v>
      </c>
      <c r="AD22" s="10" t="n">
        <v>539780.52302181</v>
      </c>
      <c r="AE22" s="10" t="n">
        <v>1485181.61330801</v>
      </c>
      <c r="AF22" t="n">
        <v>2591845.89426978</v>
      </c>
      <c r="AG22" t="n">
        <v>4317027.252548</v>
      </c>
    </row>
    <row r="23">
      <c r="A23" s="9" t="inlineStr">
        <is>
          <t>Transferencias de capital</t>
        </is>
      </c>
      <c r="B23" s="10" t="n">
        <v>3.63</v>
      </c>
      <c r="C23" s="10" t="n">
        <v>2.5</v>
      </c>
      <c r="D23" s="10" t="n">
        <v>3.34</v>
      </c>
      <c r="E23" s="10" t="n">
        <v>4.72884721</v>
      </c>
      <c r="F23" s="10" t="n">
        <v>12.83</v>
      </c>
      <c r="G23" s="10" t="n">
        <v>14.586</v>
      </c>
      <c r="H23" s="10" t="n">
        <v>25.19536459</v>
      </c>
      <c r="I23" s="10" t="n">
        <v>5.618977</v>
      </c>
      <c r="J23" s="10" t="n">
        <v>50.95761597</v>
      </c>
      <c r="K23" s="10" t="n">
        <v>129.84120619</v>
      </c>
      <c r="L23" s="10" t="n">
        <v>74.28195104999999</v>
      </c>
      <c r="M23" s="10" t="n">
        <v>51.821206</v>
      </c>
      <c r="N23" s="10" t="n">
        <v>44.16339907</v>
      </c>
      <c r="O23" s="10" t="n">
        <v>32.31012639</v>
      </c>
      <c r="P23" s="10" t="n">
        <v>27.15585585</v>
      </c>
      <c r="Q23" s="10" t="n">
        <v>45.38</v>
      </c>
      <c r="R23" s="10" t="n">
        <v>39.548867</v>
      </c>
      <c r="S23" s="10" t="n">
        <v>105.99792683</v>
      </c>
      <c r="T23" s="10" t="n">
        <v>582.529636</v>
      </c>
      <c r="U23" s="15" t="n">
        <v>143.929866</v>
      </c>
      <c r="V23" s="15" t="n">
        <v>123.772896</v>
      </c>
      <c r="W23" s="10" t="n">
        <v>252.197869</v>
      </c>
      <c r="X23" s="10" t="n">
        <v>173.093531</v>
      </c>
      <c r="Y23" s="10" t="n">
        <v>230.0113921</v>
      </c>
      <c r="Z23" s="10" t="n">
        <v>318.0615441</v>
      </c>
      <c r="AA23" s="10" t="n">
        <v>283.8</v>
      </c>
      <c r="AB23" s="10" t="n">
        <v>756.1214620599999</v>
      </c>
      <c r="AC23" s="10" t="n">
        <v>1205.64397898</v>
      </c>
      <c r="AD23" s="10" t="n">
        <v>2787.06130177</v>
      </c>
      <c r="AE23" s="10" t="n">
        <v>7501.451352859999</v>
      </c>
      <c r="AF23" t="n">
        <v>16895.74119117</v>
      </c>
      <c r="AG23" t="n">
        <v>4547.521394</v>
      </c>
    </row>
    <row r="24">
      <c r="A24" s="9" t="inlineStr">
        <is>
          <t>Inversión financiera</t>
        </is>
      </c>
      <c r="B24" s="10" t="n">
        <v>0.72</v>
      </c>
      <c r="C24" s="10" t="n">
        <v>4.7</v>
      </c>
      <c r="D24" s="10" t="n">
        <v>100</v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n">
        <v>0.5335</v>
      </c>
      <c r="I24" s="10" t="n">
        <v>1.7214</v>
      </c>
      <c r="J24" s="10" t="n">
        <v>3.82070777</v>
      </c>
      <c r="K24" s="10" t="n">
        <v>39.25356499999999</v>
      </c>
      <c r="L24" s="10" t="n">
        <v>110.098056</v>
      </c>
      <c r="M24" s="10" t="n">
        <v>133.10760784</v>
      </c>
      <c r="N24" s="10" t="n">
        <v>33.43881687</v>
      </c>
      <c r="O24" s="10" t="n">
        <v>74.71803654</v>
      </c>
      <c r="P24" s="10" t="n">
        <v>50.70907171</v>
      </c>
      <c r="Q24" s="10" t="n">
        <v>269.68</v>
      </c>
      <c r="R24" s="10" t="n">
        <v>119.334608</v>
      </c>
      <c r="S24" s="10" t="n">
        <v>101.27027196</v>
      </c>
      <c r="T24" s="10" t="n">
        <v>94.61804099999999</v>
      </c>
      <c r="U24" s="15" t="n">
        <v>1453.601964</v>
      </c>
      <c r="V24" s="15" t="n">
        <v>151.527163</v>
      </c>
      <c r="W24" s="10" t="n">
        <v>234.115715</v>
      </c>
      <c r="X24" s="10" t="n">
        <v>266.332751</v>
      </c>
      <c r="Y24" s="10" t="n">
        <v>783.29319457</v>
      </c>
      <c r="Z24" s="10" t="n">
        <v>349.11680439</v>
      </c>
      <c r="AA24" s="10" t="n">
        <v>344</v>
      </c>
      <c r="AB24" s="10" t="n">
        <v>280.41013356</v>
      </c>
      <c r="AC24" s="10" t="n">
        <v>308.0131368999999</v>
      </c>
      <c r="AD24" s="10" t="n">
        <v>1438.92461473</v>
      </c>
      <c r="AE24" s="10" t="n">
        <v>1960.62999935</v>
      </c>
      <c r="AF24" t="n">
        <v>6478.957026159999</v>
      </c>
      <c r="AG24" t="n">
        <v>4142.34592</v>
      </c>
    </row>
    <row r="25">
      <c r="A25" s="7" t="inlineStr">
        <is>
          <t>6) Recursos totales (1+4)</t>
        </is>
      </c>
      <c r="B25" s="8" t="n">
        <v>2668.99</v>
      </c>
      <c r="C25" s="8" t="n">
        <v>2723.7</v>
      </c>
      <c r="D25" s="8" t="n">
        <v>2811.37193966</v>
      </c>
      <c r="E25" s="8" t="n">
        <v>3124.483266</v>
      </c>
      <c r="F25" s="8" t="n">
        <v>3195.490000000001</v>
      </c>
      <c r="G25" s="8" t="n">
        <v>3219.343</v>
      </c>
      <c r="H25" s="8" t="n">
        <v>2927.58532951</v>
      </c>
      <c r="I25" s="8" t="n">
        <v>2934.44811656</v>
      </c>
      <c r="J25" s="8" t="n">
        <v>4004.941065</v>
      </c>
      <c r="K25" s="8" t="n">
        <v>5145.49359906</v>
      </c>
      <c r="L25" s="8" t="n">
        <v>6166.99987157</v>
      </c>
      <c r="M25" s="8" t="n">
        <v>7605.04665067</v>
      </c>
      <c r="N25" s="8" t="n">
        <v>9581.283574910001</v>
      </c>
      <c r="O25" s="8" t="n">
        <v>12759.34792805528</v>
      </c>
      <c r="P25" s="8" t="n">
        <v>15093.14143737</v>
      </c>
      <c r="Q25" s="8" t="n">
        <v>19990.16</v>
      </c>
      <c r="R25" s="8" t="n">
        <v>26246.045638</v>
      </c>
      <c r="S25" s="8" t="n">
        <v>33763.82792297</v>
      </c>
      <c r="T25" s="8" t="n">
        <v>47792.519415</v>
      </c>
      <c r="U25" s="13" t="n">
        <v>64361.078903</v>
      </c>
      <c r="V25" s="14" t="n">
        <v>81707.400683</v>
      </c>
      <c r="W25" s="8" t="n">
        <v>129564.26793664</v>
      </c>
      <c r="X25" s="8" t="n">
        <v>183494.99041</v>
      </c>
      <c r="Y25" s="8" t="n">
        <v>275915.5463378</v>
      </c>
      <c r="Z25" s="8" t="n">
        <v>365053.04424019</v>
      </c>
      <c r="AA25" s="8" t="n">
        <v>441350.6</v>
      </c>
      <c r="AB25" s="8" t="n">
        <v>680912.09194389</v>
      </c>
      <c r="AC25" s="8" t="n">
        <v>1326455.80649305</v>
      </c>
      <c r="AD25" s="8" t="n">
        <v>3343021.58143568</v>
      </c>
      <c r="AE25" s="8" t="n">
        <v>9431771.876620999</v>
      </c>
      <c r="AF25" t="n">
        <v>13470177.56405533</v>
      </c>
      <c r="AG25" t="n">
        <v>24095657.042129</v>
      </c>
    </row>
    <row r="26">
      <c r="A26" s="7" t="inlineStr">
        <is>
          <t>7) Gasto primario (2+5)</t>
        </is>
      </c>
      <c r="B26" s="8" t="n">
        <v>2666.94</v>
      </c>
      <c r="C26" s="8" t="n">
        <v>2726.1</v>
      </c>
      <c r="D26" s="8" t="n">
        <v>2851.15139878</v>
      </c>
      <c r="E26" s="8" t="n">
        <v>2754.84339801</v>
      </c>
      <c r="F26" s="8" t="n">
        <v>2999.69590178</v>
      </c>
      <c r="G26" s="8" t="n">
        <v>3059.924</v>
      </c>
      <c r="H26" s="8" t="n">
        <v>3108.517469439999</v>
      </c>
      <c r="I26" s="8" t="n">
        <v>2964.14257773</v>
      </c>
      <c r="J26" s="8" t="n">
        <v>3374.04798062</v>
      </c>
      <c r="K26" s="8" t="n">
        <v>4152.304958659999</v>
      </c>
      <c r="L26" s="8" t="n">
        <v>5678.944045069999</v>
      </c>
      <c r="M26" s="8" t="n">
        <v>8086.280001522705</v>
      </c>
      <c r="N26" s="8" t="n">
        <v>9793.639654459999</v>
      </c>
      <c r="O26" s="8" t="n">
        <v>13293.32934371</v>
      </c>
      <c r="P26" s="8" t="n">
        <v>15748.28688424</v>
      </c>
      <c r="Q26" s="8" t="n">
        <v>19548.93</v>
      </c>
      <c r="R26" s="8" t="n">
        <v>26677.66393</v>
      </c>
      <c r="S26" s="8" t="n">
        <v>34753.6497874</v>
      </c>
      <c r="T26" s="8" t="n">
        <v>50120.48855899999</v>
      </c>
      <c r="U26" s="13" t="n">
        <v>67587.03456217</v>
      </c>
      <c r="V26" s="14" t="n">
        <v>87507.16445899999</v>
      </c>
      <c r="W26" s="8" t="n">
        <v>139700.070041</v>
      </c>
      <c r="X26" s="8" t="n">
        <v>190477.946566</v>
      </c>
      <c r="Y26" s="8" t="n">
        <v>244072.71533533</v>
      </c>
      <c r="Z26" s="8" t="n">
        <v>351842.94335755</v>
      </c>
      <c r="AA26" s="8" t="n">
        <v>447007.8</v>
      </c>
      <c r="AB26" s="8" t="n">
        <v>653182.9076576099</v>
      </c>
      <c r="AC26" s="8" t="n">
        <v>1153449.42572317</v>
      </c>
      <c r="AD26" s="8" t="n">
        <v>3030222.246915501</v>
      </c>
      <c r="AE26" s="8" t="n">
        <v>9089380.177920179</v>
      </c>
      <c r="AF26" t="n">
        <v>13644080.18461021</v>
      </c>
      <c r="AG26" t="n">
        <v>23502453.293642</v>
      </c>
    </row>
    <row r="27">
      <c r="A27" s="7" t="inlineStr">
        <is>
          <t>8) Resultado primario (6-7)</t>
        </is>
      </c>
      <c r="B27" s="8" t="n">
        <v>2.049999999999727</v>
      </c>
      <c r="C27" s="8" t="n">
        <v>-2.399999999999636</v>
      </c>
      <c r="D27" s="8" t="n">
        <v>-39.77945911999996</v>
      </c>
      <c r="E27" s="8" t="n">
        <v>369.6398679899999</v>
      </c>
      <c r="F27" s="8" t="n">
        <v>195.7940982200012</v>
      </c>
      <c r="G27" s="8" t="n">
        <v>159.4189999999999</v>
      </c>
      <c r="H27" s="8" t="n">
        <v>-180.9321399299993</v>
      </c>
      <c r="I27" s="8" t="n">
        <v>-29.69446117000007</v>
      </c>
      <c r="J27" s="8" t="n">
        <v>630.8930843799994</v>
      </c>
      <c r="K27" s="8" t="n">
        <v>993.1886404000006</v>
      </c>
      <c r="L27" s="8" t="n">
        <v>488.0558265000009</v>
      </c>
      <c r="M27" s="8" t="n">
        <v>-481.2333508527054</v>
      </c>
      <c r="N27" s="8" t="n">
        <v>-212.356079549998</v>
      </c>
      <c r="O27" s="8" t="n">
        <v>-533.9814156547218</v>
      </c>
      <c r="P27" s="8" t="n">
        <v>-655.1454468700013</v>
      </c>
      <c r="Q27" s="8" t="n">
        <v>441.2299999999996</v>
      </c>
      <c r="R27" s="8" t="n">
        <v>-431.6182920000028</v>
      </c>
      <c r="S27" s="8" t="n">
        <v>-989.8218644299996</v>
      </c>
      <c r="T27" s="8" t="n">
        <v>-2327.969143999988</v>
      </c>
      <c r="U27" s="13" t="n">
        <v>-3225.955659169995</v>
      </c>
      <c r="V27" s="14" t="n">
        <v>-5799.763775999993</v>
      </c>
      <c r="W27" s="8" t="n">
        <v>-10135.80210436003</v>
      </c>
      <c r="X27" s="8" t="n">
        <v>-6982.956156</v>
      </c>
      <c r="Y27" s="8" t="n">
        <v>31842.83100246999</v>
      </c>
      <c r="Z27" s="8" t="n">
        <v>13210.10088264005</v>
      </c>
      <c r="AA27" s="8" t="n">
        <v>-5657.2</v>
      </c>
      <c r="AB27" s="8" t="n">
        <v>27729.18428628007</v>
      </c>
      <c r="AC27" s="8" t="n">
        <v>173006.3807698803</v>
      </c>
      <c r="AD27" s="8" t="n">
        <v>312799.3345201793</v>
      </c>
      <c r="AE27" s="8" t="n">
        <v>342391.6987008192</v>
      </c>
      <c r="AF27" t="n">
        <v>-173902.6205548793</v>
      </c>
      <c r="AG27" t="n">
        <v>593203.748487</v>
      </c>
    </row>
    <row r="28">
      <c r="A28" s="7" t="inlineStr">
        <is>
          <t>9) Intereses de la deuda pública</t>
        </is>
      </c>
      <c r="B28" s="8" t="n">
        <v>77.97</v>
      </c>
      <c r="C28" s="8" t="n">
        <v>139.5</v>
      </c>
      <c r="D28" s="8" t="n">
        <v>126.37966615</v>
      </c>
      <c r="E28" s="8" t="n">
        <v>101.4267121</v>
      </c>
      <c r="F28" s="8" t="n">
        <v>114.1</v>
      </c>
      <c r="G28" s="8" t="n">
        <v>88.73999999999999</v>
      </c>
      <c r="H28" s="8" t="n">
        <v>69.40102118999999</v>
      </c>
      <c r="I28" s="10" t="n">
        <v>58.70321886999999</v>
      </c>
      <c r="J28" s="10" t="n">
        <v>136.00310244</v>
      </c>
      <c r="K28" s="10" t="n">
        <v>126.67418724</v>
      </c>
      <c r="L28" s="8" t="n">
        <v>136.74888535</v>
      </c>
      <c r="M28" s="8" t="n">
        <v>176.86377311</v>
      </c>
      <c r="N28" s="8" t="n">
        <v>123.9531123</v>
      </c>
      <c r="O28" s="8" t="n">
        <v>134.6631843</v>
      </c>
      <c r="P28" s="8" t="n">
        <v>240.61649709</v>
      </c>
      <c r="Q28" s="8" t="n">
        <v>402.66</v>
      </c>
      <c r="R28" s="8" t="n">
        <v>430.641266</v>
      </c>
      <c r="S28" s="8" t="n">
        <v>478.96544331</v>
      </c>
      <c r="T28" s="8" t="n">
        <v>777.8858339999999</v>
      </c>
      <c r="U28" s="13" t="n">
        <v>1282.13580958</v>
      </c>
      <c r="V28" s="13" t="n">
        <v>1950.163029</v>
      </c>
      <c r="W28" s="8" t="n">
        <v>4500.713839</v>
      </c>
      <c r="X28" s="8" t="n">
        <v>6739.050611</v>
      </c>
      <c r="Y28" s="8" t="n">
        <v>14312.16465857</v>
      </c>
      <c r="Z28" s="8" t="n">
        <v>33037.07718068999</v>
      </c>
      <c r="AA28" s="8" t="n">
        <v>35913.3</v>
      </c>
      <c r="AB28" s="8" t="n">
        <v>51243.01065854</v>
      </c>
      <c r="AC28" s="8" t="n">
        <v>57503.61452928</v>
      </c>
      <c r="AD28" s="8" t="n">
        <v>99127.76946750999</v>
      </c>
      <c r="AE28" s="8" t="n">
        <v>139645.54522832</v>
      </c>
      <c r="AF28" t="n">
        <v>107623.05684937</v>
      </c>
      <c r="AG28" t="n">
        <v>591887.305621</v>
      </c>
    </row>
    <row r="29">
      <c r="A29" s="7" t="inlineStr">
        <is>
          <t>10) Gastos totales (7+9)</t>
        </is>
      </c>
      <c r="B29" s="8" t="n">
        <v>2744.91</v>
      </c>
      <c r="C29" s="8" t="n">
        <v>2865.6</v>
      </c>
      <c r="D29" s="8" t="n">
        <v>2977.53106493</v>
      </c>
      <c r="E29" s="8" t="n">
        <v>2856.27011011</v>
      </c>
      <c r="F29" s="8" t="n">
        <v>3113.795901779999</v>
      </c>
      <c r="G29" s="8" t="n">
        <v>3148.664</v>
      </c>
      <c r="H29" s="8" t="n">
        <v>3177.918490629999</v>
      </c>
      <c r="I29" s="8" t="n">
        <v>3022.8457966</v>
      </c>
      <c r="J29" s="8" t="n">
        <v>3510.05108306</v>
      </c>
      <c r="K29" s="8" t="n">
        <v>4278.979145899999</v>
      </c>
      <c r="L29" s="8" t="n">
        <v>5815.692930419999</v>
      </c>
      <c r="M29" s="8" t="n">
        <v>8263.143774632705</v>
      </c>
      <c r="N29" s="8" t="n">
        <v>9917.592766759999</v>
      </c>
      <c r="O29" s="8" t="n">
        <v>13427.99252801</v>
      </c>
      <c r="P29" s="8" t="n">
        <v>15988.90338133</v>
      </c>
      <c r="Q29" s="8" t="n">
        <v>19951.59</v>
      </c>
      <c r="R29" s="8" t="n">
        <v>27108.305196</v>
      </c>
      <c r="S29" s="8" t="n">
        <v>35232.61523071</v>
      </c>
      <c r="T29" s="8" t="n">
        <v>50898.37439299999</v>
      </c>
      <c r="U29" s="13" t="n">
        <v>68869.17037174999</v>
      </c>
      <c r="V29" s="13" t="n">
        <v>89457.327488</v>
      </c>
      <c r="W29" s="8" t="n">
        <v>144200.78388</v>
      </c>
      <c r="X29" s="8" t="n">
        <v>197216.997177</v>
      </c>
      <c r="Y29" s="8" t="n">
        <v>258384.8799939</v>
      </c>
      <c r="Z29" s="8" t="n">
        <v>384880.02053824</v>
      </c>
      <c r="AA29" s="8" t="n">
        <v>482921.2</v>
      </c>
      <c r="AB29" s="8" t="n">
        <v>704425.9183161499</v>
      </c>
      <c r="AC29" s="8" t="n">
        <v>1210953.04025245</v>
      </c>
      <c r="AD29" s="8" t="n">
        <v>3129350.01638301</v>
      </c>
      <c r="AE29" s="8" t="n">
        <v>9229025.723148499</v>
      </c>
      <c r="AF29" t="n">
        <v>13751703.24145958</v>
      </c>
      <c r="AG29" t="n">
        <v>24094340.599263</v>
      </c>
    </row>
    <row r="30">
      <c r="A30" s="7" t="inlineStr">
        <is>
          <t>11) Resultado financiero antes de figurativas (6-10)</t>
        </is>
      </c>
      <c r="B30" s="8" t="n">
        <v>-75.92000000000007</v>
      </c>
      <c r="C30" s="8" t="n">
        <v>-141.8999999999996</v>
      </c>
      <c r="D30" s="8" t="n">
        <v>-166.15912527</v>
      </c>
      <c r="E30" s="8" t="n">
        <v>268.2131558900001</v>
      </c>
      <c r="F30" s="8" t="n">
        <v>81.69409822000125</v>
      </c>
      <c r="G30" s="8" t="n">
        <v>70.67900000000009</v>
      </c>
      <c r="H30" s="8" t="n">
        <v>-250.3331611199992</v>
      </c>
      <c r="I30" s="8" t="n">
        <v>-88.39768004000007</v>
      </c>
      <c r="J30" s="8" t="n">
        <v>494.8899819399994</v>
      </c>
      <c r="K30" s="8" t="n">
        <v>866.5144531600008</v>
      </c>
      <c r="L30" s="8" t="n">
        <v>351.306941150001</v>
      </c>
      <c r="M30" s="8" t="n">
        <v>-658.0971239627052</v>
      </c>
      <c r="N30" s="8" t="n">
        <v>-336.3091918499977</v>
      </c>
      <c r="O30" s="8" t="n">
        <v>-668.6445999547213</v>
      </c>
      <c r="P30" s="8" t="n">
        <v>-895.7619439600021</v>
      </c>
      <c r="Q30" s="8" t="n">
        <v>38.56999999999971</v>
      </c>
      <c r="R30" s="8" t="n">
        <v>-862.2595580000016</v>
      </c>
      <c r="S30" s="8" t="n">
        <v>-1468.78730774</v>
      </c>
      <c r="T30" s="8" t="n">
        <v>-3105.854977999988</v>
      </c>
      <c r="U30" s="13" t="n">
        <v>-4508.09146874999</v>
      </c>
      <c r="V30" s="13" t="n">
        <v>-7749.926804999996</v>
      </c>
      <c r="W30" s="8" t="n">
        <v>-14636.51594336003</v>
      </c>
      <c r="X30" s="8" t="n">
        <v>-13722.00676700001</v>
      </c>
      <c r="Y30" s="8" t="n">
        <v>17530.6663439</v>
      </c>
      <c r="Z30" s="8" t="n">
        <v>-19826.97629804997</v>
      </c>
      <c r="AA30" s="8" t="n">
        <v>-41570.6</v>
      </c>
      <c r="AB30" s="8" t="n">
        <v>-23513.82637225988</v>
      </c>
      <c r="AC30" s="8" t="n">
        <v>115502.7662406003</v>
      </c>
      <c r="AD30" s="8" t="n">
        <v>213671.5650526695</v>
      </c>
      <c r="AE30" s="8" t="n">
        <v>202746.1534724999</v>
      </c>
      <c r="AF30" t="n">
        <v>-281525.6774042491</v>
      </c>
      <c r="AG30" t="n">
        <v>1316.442866</v>
      </c>
    </row>
    <row r="31">
      <c r="A31" s="7" t="inlineStr">
        <is>
          <t>12) Contribuciones figurativas</t>
        </is>
      </c>
      <c r="B31" s="8" t="inlineStr">
        <is>
          <t>-</t>
        </is>
      </c>
      <c r="C31" s="8" t="inlineStr">
        <is>
          <t>-</t>
        </is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inlineStr">
        <is>
          <t>-</t>
        </is>
      </c>
      <c r="J31" s="8" t="inlineStr">
        <is>
          <t>-</t>
        </is>
      </c>
      <c r="K31" s="8" t="inlineStr">
        <is>
          <t>-</t>
        </is>
      </c>
      <c r="L31" s="8" t="inlineStr">
        <is>
          <t>-</t>
        </is>
      </c>
      <c r="M31" s="8" t="n">
        <v>461.112772</v>
      </c>
      <c r="N31" s="8" t="n">
        <v>520.6489812799999</v>
      </c>
      <c r="O31" s="8" t="n">
        <v>744.146543</v>
      </c>
      <c r="P31" s="8" t="n">
        <v>942.311435</v>
      </c>
      <c r="Q31" s="8" t="n">
        <v>1262.455086</v>
      </c>
      <c r="R31" s="8" t="n">
        <v>1787.595897</v>
      </c>
      <c r="S31" s="8" t="n">
        <v>2290.041893</v>
      </c>
      <c r="T31" s="8" t="n">
        <v>3708.607946</v>
      </c>
      <c r="U31" s="8" t="n">
        <v>5091.779106999999</v>
      </c>
      <c r="V31" s="8" t="n">
        <v>6005.332149</v>
      </c>
      <c r="W31" s="8" t="n">
        <v>11079.321511</v>
      </c>
      <c r="X31" s="8" t="n">
        <v>14841.406401</v>
      </c>
      <c r="Y31" s="8" t="n">
        <v>19360.984159</v>
      </c>
      <c r="Z31" s="8" t="n">
        <v>24732.03105894</v>
      </c>
      <c r="AA31" s="8" t="n">
        <v>28640.68020306</v>
      </c>
      <c r="AB31" s="8" t="n">
        <v>48989.46308847</v>
      </c>
      <c r="AC31" s="8" t="n">
        <v>106723.75397965</v>
      </c>
      <c r="AD31" s="10" t="n">
        <v>298163.35937327</v>
      </c>
      <c r="AE31" s="8" t="n">
        <v>790952.36038291</v>
      </c>
      <c r="AF31" t="inlineStr">
        <is>
          <t>-</t>
        </is>
      </c>
    </row>
    <row r="32">
      <c r="A32" s="7" t="inlineStr">
        <is>
          <t>13) Gastos figurativos</t>
        </is>
      </c>
      <c r="B32" s="8" t="inlineStr">
        <is>
          <t>-</t>
        </is>
      </c>
      <c r="C32" s="8" t="inlineStr">
        <is>
          <t>-</t>
        </is>
      </c>
      <c r="D32" s="8" t="inlineStr">
        <is>
          <t>-</t>
        </is>
      </c>
      <c r="E32" s="8" t="inlineStr">
        <is>
          <t>-</t>
        </is>
      </c>
      <c r="F32" s="8" t="inlineStr">
        <is>
          <t>-</t>
        </is>
      </c>
      <c r="G32" s="8" t="inlineStr">
        <is>
          <t>-</t>
        </is>
      </c>
      <c r="H32" s="8" t="inlineStr">
        <is>
          <t>-</t>
        </is>
      </c>
      <c r="I32" s="8" t="inlineStr">
        <is>
          <t>-</t>
        </is>
      </c>
      <c r="J32" s="8" t="inlineStr">
        <is>
          <t>-</t>
        </is>
      </c>
      <c r="K32" s="8" t="inlineStr">
        <is>
          <t>-</t>
        </is>
      </c>
      <c r="L32" s="8" t="inlineStr">
        <is>
          <t>-</t>
        </is>
      </c>
      <c r="M32" s="8" t="n">
        <v>461.112772</v>
      </c>
      <c r="N32" s="8" t="n">
        <v>520.6489812799999</v>
      </c>
      <c r="O32" s="8" t="n">
        <v>744.146543</v>
      </c>
      <c r="P32" s="8" t="n">
        <v>942.311435</v>
      </c>
      <c r="Q32" s="8" t="n">
        <v>1262.455086</v>
      </c>
      <c r="R32" s="8" t="n">
        <v>1787.595897</v>
      </c>
      <c r="S32" s="8" t="n">
        <v>2290.041893</v>
      </c>
      <c r="T32" s="8" t="n">
        <v>3708.607946</v>
      </c>
      <c r="U32" s="8" t="n">
        <v>5091.779106999999</v>
      </c>
      <c r="V32" s="8" t="n">
        <v>6005.332149</v>
      </c>
      <c r="W32" s="8" t="n">
        <v>11079.321511</v>
      </c>
      <c r="X32" s="8" t="n">
        <v>14841.406401</v>
      </c>
      <c r="Y32" s="8" t="n">
        <v>19360.984159</v>
      </c>
      <c r="Z32" s="8" t="n">
        <v>24732.03105894</v>
      </c>
      <c r="AA32" s="8" t="n">
        <v>28640.68020306</v>
      </c>
      <c r="AB32" s="8" t="n">
        <v>48989.46308847</v>
      </c>
      <c r="AC32" s="8" t="n">
        <v>106723.75397965</v>
      </c>
      <c r="AD32" s="10" t="n">
        <v>298163.35937327</v>
      </c>
      <c r="AE32" s="8" t="n">
        <v>790952.36038291</v>
      </c>
      <c r="AF32" t="inlineStr">
        <is>
          <t>-</t>
        </is>
      </c>
    </row>
    <row r="33">
      <c r="A33" s="7" t="inlineStr">
        <is>
          <t>14) Resultado financiero (11+12-13)</t>
        </is>
      </c>
      <c r="B33" s="8" t="n">
        <v>-75.92000000000007</v>
      </c>
      <c r="C33" s="8" t="n">
        <v>-141.8999999999996</v>
      </c>
      <c r="D33" s="8" t="n">
        <v>-166.15912527</v>
      </c>
      <c r="E33" s="8" t="n">
        <v>268.2131558900001</v>
      </c>
      <c r="F33" s="8" t="n">
        <v>81.69409822000125</v>
      </c>
      <c r="G33" s="8" t="n">
        <v>70.67900000000009</v>
      </c>
      <c r="H33" s="8" t="n">
        <v>-250.3331611199992</v>
      </c>
      <c r="I33" s="8" t="n">
        <v>-88.39768004000007</v>
      </c>
      <c r="J33" s="8" t="n">
        <v>494.8899819399994</v>
      </c>
      <c r="K33" s="8" t="n">
        <v>866.5144531600008</v>
      </c>
      <c r="L33" s="8" t="n">
        <v>351.306941150001</v>
      </c>
      <c r="M33" s="8" t="n">
        <v>-658.0971239627052</v>
      </c>
      <c r="N33" s="8" t="n">
        <v>-336.3091918499977</v>
      </c>
      <c r="O33" s="8" t="n">
        <v>-668.6445999547213</v>
      </c>
      <c r="P33" s="8" t="n">
        <v>-895.7619439600021</v>
      </c>
      <c r="Q33" s="8" t="n">
        <v>38.56999999999971</v>
      </c>
      <c r="R33" s="8" t="n">
        <v>-862.2595580000016</v>
      </c>
      <c r="S33" s="8" t="n">
        <v>-1468.78730774</v>
      </c>
      <c r="T33" s="8" t="n">
        <v>-3105.854977999988</v>
      </c>
      <c r="U33" s="13" t="n">
        <v>-4508.09146874999</v>
      </c>
      <c r="V33" s="13" t="n">
        <v>-7749.926804999996</v>
      </c>
      <c r="W33" s="8" t="n">
        <v>-14636.51594336003</v>
      </c>
      <c r="X33" s="8" t="n">
        <v>-13722.00676700001</v>
      </c>
      <c r="Y33" s="8" t="n">
        <v>17530.6663439</v>
      </c>
      <c r="Z33" s="8" t="n">
        <v>-19826.97629804997</v>
      </c>
      <c r="AA33" s="8" t="n">
        <v>-41769.10252016003</v>
      </c>
      <c r="AB33" s="8" t="n">
        <v>-23513.82637225988</v>
      </c>
      <c r="AC33" s="8" t="n">
        <v>115502.7662406002</v>
      </c>
      <c r="AD33" s="8" t="n">
        <v>213671.5650526695</v>
      </c>
      <c r="AE33" s="8" t="n">
        <v>202746.1534724999</v>
      </c>
      <c r="AF33" t="n">
        <v>-281525.6774042491</v>
      </c>
    </row>
    <row r="34">
      <c r="A34" s="7" t="inlineStr">
        <is>
          <t>15) Fuentes financieras</t>
        </is>
      </c>
      <c r="B34" s="8" t="n">
        <v>643.52</v>
      </c>
      <c r="C34" s="8" t="n">
        <v>983.9</v>
      </c>
      <c r="D34" s="8" t="n">
        <v>1071.26429872</v>
      </c>
      <c r="E34" s="10" t="inlineStr">
        <is>
          <t>-</t>
        </is>
      </c>
      <c r="F34" s="8" t="n">
        <v>106.2</v>
      </c>
      <c r="G34" s="10" t="inlineStr">
        <is>
          <t>-</t>
        </is>
      </c>
      <c r="H34" s="8" t="n">
        <v>613.3</v>
      </c>
      <c r="I34" s="8" t="n">
        <v>695.3</v>
      </c>
      <c r="J34" s="8" t="n">
        <v>342.66042897</v>
      </c>
      <c r="K34" s="8" t="n">
        <v>507.22794451</v>
      </c>
      <c r="L34" s="8" t="n">
        <v>995.3581929999999</v>
      </c>
      <c r="M34" s="8" t="n">
        <v>1984.34615075</v>
      </c>
      <c r="N34" s="8" t="n">
        <v>2190.56571748</v>
      </c>
      <c r="O34" s="8" t="n">
        <v>2492.03117009</v>
      </c>
      <c r="P34" s="8" t="n">
        <v>1278.9</v>
      </c>
      <c r="Q34" s="8" t="n">
        <v>2440.82</v>
      </c>
      <c r="R34" s="8" t="n">
        <v>1754.604467</v>
      </c>
      <c r="S34" s="8" t="n">
        <v>3354.53841738</v>
      </c>
      <c r="T34" s="8" t="n">
        <v>2771.60529</v>
      </c>
      <c r="U34" s="13" t="n">
        <v>14573.900877</v>
      </c>
      <c r="V34" s="14" t="n">
        <v>22108.828945</v>
      </c>
      <c r="W34" s="8" t="n">
        <v>22197.13530745999</v>
      </c>
      <c r="X34" s="8" t="n">
        <v>33068.20863061</v>
      </c>
      <c r="Y34" s="8" t="n">
        <v>21764.62190156</v>
      </c>
      <c r="Z34" s="8" t="n">
        <v>46687.05563227</v>
      </c>
      <c r="AA34" s="8" t="n">
        <v>53822.4</v>
      </c>
      <c r="AB34" s="8" t="n">
        <v>49950.38501075</v>
      </c>
      <c r="AC34" s="8" t="n">
        <v>32729.33269145</v>
      </c>
      <c r="AD34" s="8" t="n">
        <v>33035.61560672</v>
      </c>
      <c r="AE34" s="8" t="n">
        <v>1124332.6984587</v>
      </c>
      <c r="AF34" t="n">
        <v>937134.32376404</v>
      </c>
    </row>
    <row r="35">
      <c r="A35" s="9" t="inlineStr">
        <is>
          <t>Disminución de la inversión financiera</t>
        </is>
      </c>
      <c r="B35" s="10" t="inlineStr">
        <is>
          <t>-</t>
        </is>
      </c>
      <c r="C35" s="10" t="inlineStr">
        <is>
          <t>-</t>
        </is>
      </c>
      <c r="D35" s="10" t="n">
        <v>173.14431129</v>
      </c>
      <c r="E35" s="10" t="inlineStr">
        <is>
          <t>-</t>
        </is>
      </c>
      <c r="F35" s="10" t="n">
        <v>106.2</v>
      </c>
      <c r="G35" s="10" t="inlineStr">
        <is>
          <t>-</t>
        </is>
      </c>
      <c r="H35" s="10" t="n">
        <v>613.3</v>
      </c>
      <c r="I35" s="10" t="n">
        <v>695.3</v>
      </c>
      <c r="J35" s="10" t="n">
        <v>276.80704595</v>
      </c>
      <c r="K35" s="10" t="n">
        <v>116.52433521</v>
      </c>
      <c r="L35" s="10" t="n">
        <v>92.807518</v>
      </c>
      <c r="M35" s="10" t="n">
        <v>595.772338</v>
      </c>
      <c r="N35" s="10" t="n">
        <v>86.48359726999999</v>
      </c>
      <c r="O35" s="10" t="n">
        <v>30.19966851000001</v>
      </c>
      <c r="P35" s="19" t="n">
        <v>68.90000000000001</v>
      </c>
      <c r="Q35" s="20" t="n">
        <v>110.92</v>
      </c>
      <c r="R35" s="18" t="n">
        <v>820.604467</v>
      </c>
      <c r="S35" s="10" t="n">
        <v>414.82084914</v>
      </c>
      <c r="T35" s="10" t="n">
        <v>393.670241</v>
      </c>
      <c r="U35" s="15" t="n">
        <v>1298.387783</v>
      </c>
      <c r="V35" s="15" t="n">
        <v>913.8379239999999</v>
      </c>
      <c r="W35" s="10" t="n">
        <v>592.1021166799999</v>
      </c>
      <c r="X35" s="10" t="n">
        <v>4253.961980999999</v>
      </c>
      <c r="Y35" s="10" t="n">
        <v>9174.864702120001</v>
      </c>
      <c r="Z35" s="10" t="n">
        <v>10306.80847055</v>
      </c>
      <c r="AA35" s="10" t="n">
        <v>6350.6</v>
      </c>
      <c r="AB35" s="10" t="n">
        <v>8755.67311767</v>
      </c>
      <c r="AC35" s="10" t="n">
        <v>2571.18999355</v>
      </c>
      <c r="AD35" s="10" t="n">
        <v>17669.51801672</v>
      </c>
      <c r="AE35" s="10" t="n">
        <v>30528.48489335</v>
      </c>
      <c r="AF35" t="n">
        <v>70943.75751324999</v>
      </c>
      <c r="AG35" t="n">
        <v>3175.598228</v>
      </c>
    </row>
    <row r="36">
      <c r="A36" s="9" t="inlineStr">
        <is>
          <t>Endeudamiento público e incremento de otros pasivos</t>
        </is>
      </c>
      <c r="B36" s="10" t="inlineStr">
        <is>
          <t>-</t>
        </is>
      </c>
      <c r="C36" s="10" t="inlineStr">
        <is>
          <t>-</t>
        </is>
      </c>
      <c r="D36" s="10" t="n">
        <v>898.1199874299999</v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n">
        <v>65.85338302</v>
      </c>
      <c r="K36" s="10" t="n">
        <v>390.7036092999999</v>
      </c>
      <c r="L36" s="10" t="n">
        <v>902.550675</v>
      </c>
      <c r="M36" s="10" t="n">
        <v>1388.57381275</v>
      </c>
      <c r="N36" s="10" t="n">
        <v>2104.08212021</v>
      </c>
      <c r="O36" s="10" t="n">
        <v>2461.83150158</v>
      </c>
      <c r="P36" s="19" t="n">
        <v>1210</v>
      </c>
      <c r="Q36" s="10" t="n">
        <v>2329.9</v>
      </c>
      <c r="R36" s="10" t="n">
        <v>934</v>
      </c>
      <c r="S36" s="10" t="n">
        <v>2939.71756824</v>
      </c>
      <c r="T36" s="10" t="n">
        <v>2377.935049</v>
      </c>
      <c r="U36" s="15" t="n">
        <v>13275.513094</v>
      </c>
      <c r="V36" s="15" t="n">
        <v>21194.991021</v>
      </c>
      <c r="W36" s="10" t="n">
        <v>18529.13238328</v>
      </c>
      <c r="X36" s="10" t="n">
        <v>25381.88101023</v>
      </c>
      <c r="Y36" s="10" t="n">
        <v>6245.44653135</v>
      </c>
      <c r="Z36" s="10" t="n">
        <v>19434.07476552</v>
      </c>
      <c r="AA36" s="10" t="n">
        <v>38957.2</v>
      </c>
      <c r="AB36" s="10" t="n">
        <v>35752.757577</v>
      </c>
      <c r="AC36" s="10" t="n">
        <v>23019.632099</v>
      </c>
      <c r="AD36" s="10" t="inlineStr">
        <is>
          <t>-</t>
        </is>
      </c>
      <c r="AE36" s="21" t="n">
        <v>21129.46297713</v>
      </c>
      <c r="AF36" t="n">
        <v>865699.98</v>
      </c>
    </row>
    <row r="37">
      <c r="A37" s="9" t="inlineStr">
        <is>
          <t>Ingresos no presupuestarios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-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-</t>
        </is>
      </c>
      <c r="T37" s="10" t="inlineStr">
        <is>
          <t>-</t>
        </is>
      </c>
      <c r="U37" s="10" t="inlineStr">
        <is>
          <t>-</t>
        </is>
      </c>
      <c r="V37" s="10" t="inlineStr">
        <is>
          <t>-</t>
        </is>
      </c>
      <c r="W37" s="10" t="n">
        <v>3075.9008075</v>
      </c>
      <c r="X37" s="10" t="n">
        <v>3432.36563938</v>
      </c>
      <c r="Y37" s="10" t="n">
        <v>6344.31066809</v>
      </c>
      <c r="Z37" s="10" t="n">
        <v>16946.1723962</v>
      </c>
      <c r="AA37" s="10" t="n">
        <v>8514.700000000001</v>
      </c>
      <c r="AB37" s="10" t="n">
        <v>5441.954316079999</v>
      </c>
      <c r="AC37" s="10" t="n">
        <v>7138.510598899999</v>
      </c>
      <c r="AD37" s="10" t="n">
        <v>15366.09759</v>
      </c>
      <c r="AE37" s="10" t="n">
        <v>1072674.75058822</v>
      </c>
      <c r="AF37" t="n">
        <v>490.58625079</v>
      </c>
    </row>
    <row r="38">
      <c r="A38" s="7" t="inlineStr">
        <is>
          <t>16) Aplicaciones financieras</t>
        </is>
      </c>
      <c r="B38" s="8" t="n">
        <v>567.6</v>
      </c>
      <c r="C38" s="8" t="n">
        <v>747</v>
      </c>
      <c r="D38" s="8" t="n">
        <v>899.8760535</v>
      </c>
      <c r="E38" s="8" t="n">
        <v>386.3</v>
      </c>
      <c r="F38" s="8" t="n">
        <v>187.8</v>
      </c>
      <c r="G38" s="10" t="inlineStr">
        <is>
          <t>-</t>
        </is>
      </c>
      <c r="H38" s="8" t="n">
        <v>363</v>
      </c>
      <c r="I38" s="8" t="n">
        <v>606.9</v>
      </c>
      <c r="J38" s="8" t="n">
        <v>838.4358573800001</v>
      </c>
      <c r="K38" s="8" t="n">
        <v>1372.74847988</v>
      </c>
      <c r="L38" s="8" t="n">
        <v>1346.66513439</v>
      </c>
      <c r="M38" s="8" t="n">
        <v>1326.24902735</v>
      </c>
      <c r="N38" s="8" t="n">
        <v>1854.25652523</v>
      </c>
      <c r="O38" s="8" t="n">
        <v>2242.94811</v>
      </c>
      <c r="P38" s="22" t="n">
        <v>2242.94811</v>
      </c>
      <c r="Q38" s="8" t="n">
        <v>1534.1</v>
      </c>
      <c r="R38" s="8" t="n">
        <v>1901.854555</v>
      </c>
      <c r="S38" s="8" t="n">
        <v>1688.7792777</v>
      </c>
      <c r="T38" s="8" t="n">
        <v>1364.537881</v>
      </c>
      <c r="U38" s="13" t="n">
        <v>10065.809409</v>
      </c>
      <c r="V38" s="14" t="n">
        <v>14358.902137</v>
      </c>
      <c r="W38" s="8" t="n">
        <v>14543.27331318</v>
      </c>
      <c r="X38" s="8" t="n">
        <v>20277.60860366</v>
      </c>
      <c r="Y38" s="8" t="n">
        <v>23136.90159479</v>
      </c>
      <c r="Z38" s="8" t="n">
        <v>35383.93840612</v>
      </c>
      <c r="AA38" s="8" t="n">
        <v>23011.7</v>
      </c>
      <c r="AB38" s="8" t="n">
        <v>47341.12771692</v>
      </c>
      <c r="AC38" s="8" t="n">
        <v>76859.07952152001</v>
      </c>
      <c r="AD38" s="8" t="n">
        <v>71920.46587227999</v>
      </c>
      <c r="AE38" s="8" t="n">
        <v>1431016.65997517</v>
      </c>
      <c r="AF38" t="n">
        <v>663100.91917905</v>
      </c>
    </row>
    <row r="39">
      <c r="A39" s="9" t="inlineStr">
        <is>
          <t>Incremento de la inversión financiera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n">
        <v>720.1817274000001</v>
      </c>
      <c r="K39" s="10" t="n">
        <v>1192.42435256</v>
      </c>
      <c r="L39" s="10" t="n">
        <v>553.5915543899999</v>
      </c>
      <c r="M39" s="10" t="n">
        <v>55.070253</v>
      </c>
      <c r="N39" s="10" t="n">
        <v>89.12341083</v>
      </c>
      <c r="O39" s="10" t="n">
        <v>165.979204</v>
      </c>
      <c r="P39" s="19" t="n">
        <v>181.4</v>
      </c>
      <c r="Q39" s="20" t="n">
        <v>258</v>
      </c>
      <c r="R39" s="18" t="n">
        <v>296.02</v>
      </c>
      <c r="S39" s="10" t="n">
        <v>631.076495</v>
      </c>
      <c r="T39" s="10" t="n">
        <v>909.896118</v>
      </c>
      <c r="U39" s="15" t="n">
        <v>1177</v>
      </c>
      <c r="V39" s="15" t="n">
        <v>1354.370586</v>
      </c>
      <c r="W39" s="10" t="n">
        <v>1819.6008075</v>
      </c>
      <c r="X39" s="10" t="n">
        <v>3161.512266</v>
      </c>
      <c r="Y39" s="10" t="n">
        <v>13314.1242457</v>
      </c>
      <c r="Z39" s="10" t="n">
        <v>23385.81015539</v>
      </c>
      <c r="AA39" s="10" t="n">
        <v>7996.1</v>
      </c>
      <c r="AB39" s="10" t="n">
        <v>8647.874021979998</v>
      </c>
      <c r="AC39" s="10" t="n">
        <v>17746.20214433</v>
      </c>
      <c r="AD39" s="10" t="n">
        <v>36925.38985384</v>
      </c>
      <c r="AE39" s="10" t="n">
        <v>1355394.91127283</v>
      </c>
      <c r="AF39" t="n">
        <v>282500</v>
      </c>
    </row>
    <row r="40">
      <c r="A40" s="23" t="inlineStr">
        <is>
          <t>Amortización de la deuda y disminución de otros pasivos</t>
        </is>
      </c>
      <c r="B40" s="24" t="inlineStr">
        <is>
          <t>-</t>
        </is>
      </c>
      <c r="C40" s="24" t="inlineStr">
        <is>
          <t>-</t>
        </is>
      </c>
      <c r="D40" s="24" t="n">
        <v>899.8760535</v>
      </c>
      <c r="E40" s="24" t="n">
        <v>386.3</v>
      </c>
      <c r="F40" s="24" t="n">
        <v>187.8</v>
      </c>
      <c r="G40" s="24" t="inlineStr">
        <is>
          <t>-</t>
        </is>
      </c>
      <c r="H40" s="24" t="n">
        <v>363</v>
      </c>
      <c r="I40" s="24" t="n">
        <v>606.9</v>
      </c>
      <c r="J40" s="24" t="n">
        <v>118.25412998</v>
      </c>
      <c r="K40" s="24" t="n">
        <v>118.41264389</v>
      </c>
      <c r="L40" s="24" t="n">
        <v>134.592027</v>
      </c>
      <c r="M40" s="24" t="n">
        <v>390.78219835</v>
      </c>
      <c r="N40" s="24" t="n">
        <v>1765.1331144</v>
      </c>
      <c r="O40" s="24" t="n">
        <v>1674.92224816</v>
      </c>
      <c r="P40" s="25" t="n">
        <v>638.3</v>
      </c>
      <c r="Q40" s="24" t="n">
        <v>1276.1</v>
      </c>
      <c r="R40" s="24" t="n">
        <v>1605.834555</v>
      </c>
      <c r="S40" s="24" t="n">
        <v>1057.7027827</v>
      </c>
      <c r="T40" s="24" t="n">
        <v>454.641763</v>
      </c>
      <c r="U40" s="26" t="n">
        <v>8888.809409</v>
      </c>
      <c r="V40" s="26" t="n">
        <v>13004.531551</v>
      </c>
      <c r="W40" s="24" t="n">
        <v>12723.67250568</v>
      </c>
      <c r="X40" s="24" t="n">
        <v>17116.09633766</v>
      </c>
      <c r="Y40" s="24" t="n">
        <v>9822.77734909</v>
      </c>
      <c r="Z40" s="24" t="n">
        <v>11998.12825073</v>
      </c>
      <c r="AA40" s="24" t="n">
        <v>15015.6</v>
      </c>
      <c r="AB40" s="24" t="n">
        <v>38693.25369494</v>
      </c>
      <c r="AC40" s="24" t="n">
        <v>59112.87737719</v>
      </c>
      <c r="AD40" s="24" t="n">
        <v>34995.07601844</v>
      </c>
      <c r="AE40" s="24" t="n">
        <v>75621.74870233999</v>
      </c>
      <c r="AF40" t="n">
        <v>380600.91917905</v>
      </c>
    </row>
    <row r="41">
      <c r="A41" t="inlineStr">
        <is>
          <t>Nota: hasta 1997 los gastos se consideraron en la etapa definitiva, a partir de 1998 en la etapa devengado. Las diferencias con valores publicados anteriormente se deben a ajustes de elaboración. La suma de las cifras parciales difiere del total por procedimientos de redondeo. El dato provisorio contiene información de la Ejecución Presupuestaria.</t>
        </is>
      </c>
    </row>
    <row r="42">
      <c r="A42" t="inlineStr">
        <is>
          <t>Fuente:  Instituto de Estadística y Censos de la Ciudad Autónoma de Buenos Aires (Jefatura de Gabinete de Ministros - GCBA)  sobre la base de datos del Ministerio de Hacienda y Finanzas. Dirección General Contaduría. Cuentas Anuales de Inversión.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topLeftCell="A16" workbookViewId="0">
      <selection activeCell="D37" sqref="D37"/>
    </sheetView>
  </sheetViews>
  <sheetFormatPr baseColWidth="10" defaultRowHeight="14.4"/>
  <sheetData>
    <row r="1">
      <c r="A1" s="27" t="inlineStr">
        <is>
          <t>año</t>
        </is>
      </c>
      <c r="B1" t="inlineStr">
        <is>
          <t>tasa</t>
        </is>
      </c>
      <c r="C1" t="inlineStr">
        <is>
          <t>coef</t>
        </is>
      </c>
      <c r="D1" t="inlineStr">
        <is>
          <t>coefacum</t>
        </is>
      </c>
      <c r="F1" t="inlineStr">
        <is>
          <t>infla USD</t>
        </is>
      </c>
      <c r="H1" t="inlineStr">
        <is>
          <t>Nota: 2025-2026 = IPCBA dic/dic (oct-dic 2026 estimado al 2% mensual); 2027 = pauta 18% del proyecto. Base de coefacum: diciembre 2027.</t>
        </is>
      </c>
    </row>
    <row r="2">
      <c r="A2" s="27" t="n">
        <v>1990</v>
      </c>
      <c r="B2" s="28" t="n">
        <v>13.439208542</v>
      </c>
      <c r="C2" s="29">
        <f>B2+1</f>
        <v/>
      </c>
      <c r="D2">
        <f>PRODUCT(C3:$C$39)</f>
        <v/>
      </c>
    </row>
    <row r="3">
      <c r="A3" s="27" t="n">
        <v>1991</v>
      </c>
      <c r="B3" s="28" t="n">
        <v>0.839869305883211</v>
      </c>
      <c r="C3" s="29">
        <f>B3+1</f>
        <v/>
      </c>
      <c r="D3">
        <f>PRODUCT(C4:$C$39)</f>
        <v/>
      </c>
    </row>
    <row r="4">
      <c r="A4" s="27" t="n">
        <v>1992</v>
      </c>
      <c r="B4" s="28" t="n">
        <v>0.17545874354603</v>
      </c>
      <c r="C4" s="29">
        <f>B4+1</f>
        <v/>
      </c>
      <c r="D4">
        <f>PRODUCT(C5:$C$39)</f>
        <v/>
      </c>
    </row>
    <row r="5">
      <c r="A5" s="27" t="n">
        <v>1993</v>
      </c>
      <c r="B5" s="28" t="n">
        <v>0.07364981144222819</v>
      </c>
      <c r="C5" s="29">
        <f>B5+1</f>
        <v/>
      </c>
      <c r="D5">
        <f>PRODUCT(C6:$C$39)</f>
        <v/>
      </c>
    </row>
    <row r="6">
      <c r="A6" s="27" t="n">
        <v>1994</v>
      </c>
      <c r="B6" s="28" t="n">
        <v>0.0385438089031496</v>
      </c>
      <c r="C6" s="29">
        <f>B6+1</f>
        <v/>
      </c>
      <c r="D6">
        <f>PRODUCT(C7:$C$39)</f>
        <v/>
      </c>
    </row>
    <row r="7">
      <c r="A7" s="27" t="n">
        <v>1995</v>
      </c>
      <c r="B7" s="28" t="n">
        <v>0.01607754177045</v>
      </c>
      <c r="C7" s="29">
        <f>B7+1</f>
        <v/>
      </c>
      <c r="D7">
        <f>PRODUCT(C8:$C$39)</f>
        <v/>
      </c>
    </row>
    <row r="8">
      <c r="A8" s="27" t="n">
        <v>1996</v>
      </c>
      <c r="B8" s="28" t="n">
        <v>0.00054311344654056</v>
      </c>
      <c r="C8" s="29">
        <f>B8+1</f>
        <v/>
      </c>
      <c r="D8">
        <f>PRODUCT(C9:$C$39)</f>
        <v/>
      </c>
    </row>
    <row r="9">
      <c r="A9" s="27" t="n">
        <v>1997</v>
      </c>
      <c r="B9" s="28" t="n">
        <v>0.00327996924641338</v>
      </c>
      <c r="C9" s="29">
        <f>B9+1</f>
        <v/>
      </c>
      <c r="D9">
        <f>PRODUCT(C10:$C$39)</f>
        <v/>
      </c>
    </row>
    <row r="10">
      <c r="A10" s="27" t="n">
        <v>1998</v>
      </c>
      <c r="B10" s="28" t="n">
        <v>0.00664478929121004</v>
      </c>
      <c r="C10" s="29">
        <f>B10+1</f>
        <v/>
      </c>
      <c r="D10">
        <f>PRODUCT(C11:$C$39)</f>
        <v/>
      </c>
    </row>
    <row r="11">
      <c r="A11" s="27" t="n">
        <v>1999</v>
      </c>
      <c r="B11" s="28" t="n">
        <v>-0.0181046644835473</v>
      </c>
      <c r="C11" s="29">
        <f>B11+1</f>
        <v/>
      </c>
      <c r="D11">
        <f>PRODUCT(C12:$C$39)</f>
        <v/>
      </c>
    </row>
    <row r="12">
      <c r="A12" s="27" t="n">
        <v>2000</v>
      </c>
      <c r="B12" s="28" t="n">
        <v>-0.0073369945312316</v>
      </c>
      <c r="C12" s="29">
        <f>B12+1</f>
        <v/>
      </c>
      <c r="D12">
        <f>PRODUCT(C13:$C$39)</f>
        <v/>
      </c>
    </row>
    <row r="13">
      <c r="A13" s="27" t="n">
        <v>2001</v>
      </c>
      <c r="B13" s="28" t="n">
        <v>-0.0154342782205186</v>
      </c>
      <c r="C13" s="29">
        <f>B13+1</f>
        <v/>
      </c>
      <c r="D13">
        <f>PRODUCT(C14:$C$39)</f>
        <v/>
      </c>
    </row>
    <row r="14">
      <c r="A14" s="27" t="n">
        <v>2002</v>
      </c>
      <c r="B14" s="28" t="n">
        <v>0.40952868852459</v>
      </c>
      <c r="C14" s="29">
        <f>B14+1</f>
        <v/>
      </c>
      <c r="D14">
        <f>PRODUCT(C15:$C$39)</f>
        <v/>
      </c>
    </row>
    <row r="15">
      <c r="A15" s="27" t="n">
        <v>2003</v>
      </c>
      <c r="B15" s="28" t="n">
        <v>0.0365632041869595</v>
      </c>
      <c r="C15" s="29">
        <f>B15+1</f>
        <v/>
      </c>
      <c r="D15">
        <f>PRODUCT(C16:$C$39)</f>
        <v/>
      </c>
    </row>
    <row r="16">
      <c r="A16" s="27" t="n">
        <v>2004</v>
      </c>
      <c r="B16" s="28" t="n">
        <v>0.0610098176718095</v>
      </c>
      <c r="C16" s="29">
        <f>B16+1</f>
        <v/>
      </c>
      <c r="D16">
        <f>PRODUCT(C17:$C$39)</f>
        <v/>
      </c>
    </row>
    <row r="17">
      <c r="A17" s="27" t="n">
        <v>2005</v>
      </c>
      <c r="B17" s="28" t="n">
        <v>0.123265036351619</v>
      </c>
      <c r="C17" s="29">
        <f>B17+1</f>
        <v/>
      </c>
      <c r="D17">
        <f>PRODUCT(C18:$C$39)</f>
        <v/>
      </c>
    </row>
    <row r="18">
      <c r="A18" s="27" t="n">
        <v>2006</v>
      </c>
      <c r="B18" s="28" t="n">
        <v>0.0983818770226537</v>
      </c>
      <c r="C18" s="29">
        <f>B18+1</f>
        <v/>
      </c>
      <c r="D18">
        <f>PRODUCT(C19:$C$39)</f>
        <v/>
      </c>
    </row>
    <row r="19">
      <c r="A19" s="27" t="n">
        <v>2007</v>
      </c>
      <c r="B19" s="28" t="n">
        <v>0.215205780710022</v>
      </c>
      <c r="C19" s="29">
        <f>B19+1</f>
        <v/>
      </c>
      <c r="D19">
        <f>PRODUCT(C20:$C$39)</f>
        <v/>
      </c>
    </row>
    <row r="20">
      <c r="A20" s="27" t="n">
        <v>2008</v>
      </c>
      <c r="B20" s="28" t="n">
        <v>0.205985005170631</v>
      </c>
      <c r="C20" s="29">
        <f>B20+1</f>
        <v/>
      </c>
      <c r="D20">
        <f>PRODUCT(C21:$C$39)</f>
        <v/>
      </c>
    </row>
    <row r="21">
      <c r="A21" s="27" t="n">
        <v>2009</v>
      </c>
      <c r="B21" s="28" t="n">
        <v>0.184736588241599</v>
      </c>
      <c r="C21" s="29">
        <f>B21+1</f>
        <v/>
      </c>
      <c r="D21">
        <f>PRODUCT(C22:$C$39)</f>
        <v/>
      </c>
    </row>
    <row r="22">
      <c r="A22" s="27" t="n">
        <v>2010</v>
      </c>
      <c r="B22" s="28" t="n">
        <v>0.270288609427305</v>
      </c>
      <c r="C22" s="29">
        <f>B22+1</f>
        <v/>
      </c>
      <c r="D22">
        <f>PRODUCT(C23:$C$39)</f>
        <v/>
      </c>
    </row>
    <row r="23">
      <c r="A23" s="27" t="n">
        <v>2011</v>
      </c>
      <c r="B23" s="28" t="n">
        <v>0.232755243759125</v>
      </c>
      <c r="C23" s="29">
        <f>B23+1</f>
        <v/>
      </c>
      <c r="D23">
        <f>PRODUCT(C24:$C$39)</f>
        <v/>
      </c>
    </row>
    <row r="24">
      <c r="A24" s="27" t="n">
        <v>2012</v>
      </c>
      <c r="B24" s="28" t="n">
        <v>0.23006037496028</v>
      </c>
      <c r="C24" s="29">
        <f>B24+1</f>
        <v/>
      </c>
      <c r="D24">
        <f>PRODUCT(C25:$C$39)</f>
        <v/>
      </c>
    </row>
    <row r="25">
      <c r="A25" s="27" t="n">
        <v>2013</v>
      </c>
      <c r="B25" s="28" t="n">
        <v>0.319438247105517</v>
      </c>
      <c r="C25" s="29">
        <f>B25+1</f>
        <v/>
      </c>
      <c r="D25">
        <f>PRODUCT(C26:$C$39)</f>
        <v/>
      </c>
    </row>
    <row r="26">
      <c r="A26" s="27" t="n">
        <v>2014</v>
      </c>
      <c r="B26" s="28" t="n">
        <v>0.390082409269708</v>
      </c>
      <c r="C26" s="29">
        <f>B26+1</f>
        <v/>
      </c>
      <c r="D26">
        <f>PRODUCT(C27:$C$39)</f>
        <v/>
      </c>
    </row>
    <row r="27">
      <c r="A27" s="27" t="n">
        <v>2015</v>
      </c>
      <c r="B27" s="28" t="n">
        <v>0.315689061319607</v>
      </c>
      <c r="C27" s="29">
        <f>B27+1</f>
        <v/>
      </c>
      <c r="D27">
        <f>PRODUCT(C28:$C$39)</f>
        <v/>
      </c>
    </row>
    <row r="28">
      <c r="A28" s="27" t="n">
        <v>2016</v>
      </c>
      <c r="B28" s="28" t="n">
        <v>0.314284602059287</v>
      </c>
      <c r="C28" s="29">
        <f>B28+1</f>
        <v/>
      </c>
      <c r="D28">
        <f>PRODUCT(C29:$C$39)</f>
        <v/>
      </c>
    </row>
    <row r="29">
      <c r="A29" s="27" t="n">
        <v>2017</v>
      </c>
      <c r="B29" s="28" t="n">
        <v>0.250392</v>
      </c>
      <c r="C29" s="29">
        <f>B29+1</f>
        <v/>
      </c>
      <c r="D29">
        <f>PRODUCT(C30:$C$39)</f>
        <v/>
      </c>
    </row>
    <row r="30">
      <c r="A30" s="27" t="n">
        <v>2018</v>
      </c>
      <c r="B30" s="28" t="n">
        <v>0.471043480764433</v>
      </c>
      <c r="C30" s="29">
        <f>B30+1</f>
        <v/>
      </c>
      <c r="D30">
        <f>PRODUCT(C31:$C$39)</f>
        <v/>
      </c>
    </row>
    <row r="31">
      <c r="A31" s="27" t="n">
        <v>2019</v>
      </c>
      <c r="B31" s="28" t="n">
        <v>0.538324020163339</v>
      </c>
      <c r="C31" s="29">
        <f>B31+1</f>
        <v/>
      </c>
      <c r="D31">
        <f>PRODUCT(C32:$C$39)</f>
        <v/>
      </c>
    </row>
    <row r="32">
      <c r="A32" s="27" t="n">
        <v>2020</v>
      </c>
      <c r="B32" s="28" t="n">
        <v>0.361405878123454</v>
      </c>
      <c r="C32" s="29">
        <f>B32+1</f>
        <v/>
      </c>
      <c r="D32">
        <f>PRODUCT(C33:$C$39)</f>
        <v/>
      </c>
    </row>
    <row r="33">
      <c r="A33" s="27" t="n">
        <v>2021</v>
      </c>
      <c r="B33" s="28" t="n">
        <v>0.509416335434663</v>
      </c>
      <c r="C33" s="29">
        <f>B33+1</f>
        <v/>
      </c>
      <c r="D33">
        <f>PRODUCT(C34:$C$39)</f>
        <v/>
      </c>
    </row>
    <row r="34">
      <c r="A34" s="27" t="n">
        <v>2022</v>
      </c>
      <c r="B34" s="28" t="n">
        <v>0.9479318233519181</v>
      </c>
      <c r="C34" s="29">
        <f>B34+1</f>
        <v/>
      </c>
      <c r="D34">
        <f>PRODUCT(C35:$C$39)</f>
        <v/>
      </c>
    </row>
    <row r="35">
      <c r="A35" s="27" t="n">
        <v>2023</v>
      </c>
      <c r="B35" s="28" t="n">
        <v>2.1140764374</v>
      </c>
      <c r="C35" s="29">
        <f>B35+1</f>
        <v/>
      </c>
      <c r="D35">
        <f>PRODUCT(C36:$C$39)</f>
        <v/>
      </c>
    </row>
    <row r="36">
      <c r="A36" s="27" t="n">
        <v>2024</v>
      </c>
      <c r="B36" s="30" t="n">
        <v>1.178</v>
      </c>
      <c r="C36" s="29">
        <f>B36+1</f>
        <v/>
      </c>
      <c r="D36">
        <f>PRODUCT(C37:$C$39)</f>
        <v/>
      </c>
    </row>
    <row r="37">
      <c r="A37" s="27" t="n">
        <v>2025</v>
      </c>
      <c r="B37" s="28" t="n">
        <v>0.3176890411887607</v>
      </c>
      <c r="C37" s="29">
        <f>B37+1</f>
        <v/>
      </c>
      <c r="D37">
        <f>PRODUCT(C38:$C$39)</f>
        <v/>
      </c>
    </row>
    <row r="38">
      <c r="A38" t="n">
        <v>2026</v>
      </c>
      <c r="B38" t="n">
        <v>0.312533805415367</v>
      </c>
      <c r="C38">
        <f>B38+1</f>
        <v/>
      </c>
      <c r="D38">
        <f>PRODUCT(C39:$C$39)</f>
        <v/>
      </c>
    </row>
    <row r="39">
      <c r="A39" t="n">
        <v>2027</v>
      </c>
      <c r="B39" t="n">
        <v>0.18</v>
      </c>
      <c r="C39">
        <f>B39+1</f>
        <v/>
      </c>
      <c r="D3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81"/>
  <sheetViews>
    <sheetView zoomScale="90" zoomScaleNormal="90" workbookViewId="0">
      <pane ySplit="1" topLeftCell="A2" activePane="bottomLeft" state="frozen"/>
      <selection pane="bottomLeft" activeCell="N40" sqref="N40"/>
    </sheetView>
  </sheetViews>
  <sheetFormatPr baseColWidth="10" defaultRowHeight="14.4"/>
  <cols>
    <col width="43.33203125" bestFit="1" customWidth="1" min="1" max="1"/>
  </cols>
  <sheetData>
    <row r="1">
      <c r="A1" s="2" t="n"/>
      <c r="B1" s="2" t="n">
        <v>1995</v>
      </c>
      <c r="C1" s="2" t="n">
        <v>1996</v>
      </c>
      <c r="D1" s="2" t="n">
        <v>1997</v>
      </c>
      <c r="E1" s="2" t="n">
        <v>1998</v>
      </c>
      <c r="F1" s="2" t="n">
        <v>1999</v>
      </c>
      <c r="G1" s="2" t="n">
        <v>2000</v>
      </c>
      <c r="H1" s="2" t="n">
        <v>2001</v>
      </c>
      <c r="I1" s="2" t="n">
        <v>2002</v>
      </c>
      <c r="J1" s="2" t="n">
        <v>2003</v>
      </c>
      <c r="K1" s="2" t="n">
        <v>2004</v>
      </c>
      <c r="L1" s="2" t="n">
        <v>2005</v>
      </c>
      <c r="M1" s="2" t="n">
        <v>2006</v>
      </c>
      <c r="N1" s="2" t="n">
        <v>2007</v>
      </c>
      <c r="O1" s="2" t="n">
        <v>2008</v>
      </c>
      <c r="P1" s="2" t="n">
        <v>2009</v>
      </c>
      <c r="Q1" s="62" t="n">
        <v>2010</v>
      </c>
      <c r="R1" s="62" t="n">
        <v>2011</v>
      </c>
      <c r="S1" s="62" t="n">
        <v>2012</v>
      </c>
      <c r="T1" s="62" t="n">
        <v>2013</v>
      </c>
      <c r="U1" s="62" t="n">
        <v>2014</v>
      </c>
      <c r="V1" s="62" t="n">
        <v>2015</v>
      </c>
      <c r="W1" s="62" t="n">
        <v>2016</v>
      </c>
      <c r="X1" s="62" t="n">
        <v>2017</v>
      </c>
      <c r="Y1" s="59" t="n">
        <v>2018</v>
      </c>
      <c r="Z1" s="59" t="n">
        <v>2019</v>
      </c>
      <c r="AA1" s="59" t="n">
        <v>2020</v>
      </c>
      <c r="AB1" s="58" t="n">
        <v>2021</v>
      </c>
      <c r="AC1" s="58" t="n">
        <v>2022</v>
      </c>
      <c r="AD1" s="58" t="n">
        <v>2023</v>
      </c>
      <c r="AE1" s="6" t="n">
        <v>2024</v>
      </c>
      <c r="AF1" t="n">
        <v>2025</v>
      </c>
      <c r="AG1" t="n">
        <v>2027</v>
      </c>
    </row>
    <row r="2">
      <c r="A2" s="7" t="inlineStr">
        <is>
          <t>1) Ingresos corrientes</t>
        </is>
      </c>
      <c r="B2" s="8">
        <f>IFERROR('dataset- CAIF corriente'!B4*VLOOKUP(constante!B$1,ipc!$A:$D,4,FALSE)/1000000,"")</f>
        <v/>
      </c>
      <c r="C2" s="8">
        <f>IFERROR('dataset- CAIF corriente'!C4*VLOOKUP(constante!C$1,ipc!$A:$D,4,FALSE)/1000000,"")</f>
        <v/>
      </c>
      <c r="D2" s="8">
        <f>IFERROR('dataset- CAIF corriente'!D4*VLOOKUP(constante!D$1,ipc!$A:$D,4,FALSE)/1000000,"")</f>
        <v/>
      </c>
      <c r="E2" s="8">
        <f>IFERROR('dataset- CAIF corriente'!E4*VLOOKUP(constante!E$1,ipc!$A:$D,4,FALSE)/1000000,"")</f>
        <v/>
      </c>
      <c r="F2" s="8">
        <f>IFERROR('dataset- CAIF corriente'!F4*VLOOKUP(constante!F$1,ipc!$A:$D,4,FALSE)/1000000,"")</f>
        <v/>
      </c>
      <c r="G2" s="8">
        <f>IFERROR('dataset- CAIF corriente'!G4*VLOOKUP(constante!G$1,ipc!$A:$D,4,FALSE)/1000000,"")</f>
        <v/>
      </c>
      <c r="H2" s="8">
        <f>IFERROR('dataset- CAIF corriente'!H4*VLOOKUP(constante!H$1,ipc!$A:$D,4,FALSE)/1000000,"")</f>
        <v/>
      </c>
      <c r="I2" s="8">
        <f>IFERROR('dataset- CAIF corriente'!I4*VLOOKUP(constante!I$1,ipc!$A:$D,4,FALSE)/1000000,"")</f>
        <v/>
      </c>
      <c r="J2" s="8">
        <f>IFERROR('dataset- CAIF corriente'!J4*VLOOKUP(constante!J$1,ipc!$A:$D,4,FALSE)/1000000,"")</f>
        <v/>
      </c>
      <c r="K2" s="8">
        <f>IFERROR('dataset- CAIF corriente'!K4*VLOOKUP(constante!K$1,ipc!$A:$D,4,FALSE)/1000000,"")</f>
        <v/>
      </c>
      <c r="L2" s="8">
        <f>IFERROR('dataset- CAIF corriente'!L4*VLOOKUP(constante!L$1,ipc!$A:$D,4,FALSE)/1000000,"")</f>
        <v/>
      </c>
      <c r="M2" s="8">
        <f>IFERROR('dataset- CAIF corriente'!M4*VLOOKUP(constante!M$1,ipc!$A:$D,4,FALSE)/1000000,"")</f>
        <v/>
      </c>
      <c r="N2" s="8">
        <f>IFERROR('dataset- CAIF corriente'!N4*VLOOKUP(constante!N$1,ipc!$A:$D,4,FALSE)/1000000,"")</f>
        <v/>
      </c>
      <c r="O2" s="8">
        <f>IFERROR('dataset- CAIF corriente'!O4*VLOOKUP(constante!O$1,ipc!$A:$D,4,FALSE)/1000000,"")</f>
        <v/>
      </c>
      <c r="P2" s="8">
        <f>IFERROR('dataset- CAIF corriente'!P4*VLOOKUP(constante!P$1,ipc!$A:$D,4,FALSE)/1000000,"")</f>
        <v/>
      </c>
      <c r="Q2" s="8">
        <f>IFERROR('dataset- CAIF corriente'!Q4*VLOOKUP(constante!Q$1,ipc!$A:$D,4,FALSE)/1000000,"")</f>
        <v/>
      </c>
      <c r="R2" s="8">
        <f>IFERROR('dataset- CAIF corriente'!R4*VLOOKUP(constante!R$1,ipc!$A:$D,4,FALSE)/1000000,"")</f>
        <v/>
      </c>
      <c r="S2" s="8">
        <f>IFERROR('dataset- CAIF corriente'!S4*VLOOKUP(constante!S$1,ipc!$A:$D,4,FALSE)/1000000,"")</f>
        <v/>
      </c>
      <c r="T2" s="8">
        <f>IFERROR('dataset- CAIF corriente'!T4*VLOOKUP(constante!T$1,ipc!$A:$D,4,FALSE)/1000000,"")</f>
        <v/>
      </c>
      <c r="U2" s="8">
        <f>IFERROR('dataset- CAIF corriente'!U4*VLOOKUP(constante!U$1,ipc!$A:$D,4,FALSE)/1000000,"")</f>
        <v/>
      </c>
      <c r="V2" s="8">
        <f>IFERROR('dataset- CAIF corriente'!V4*VLOOKUP(constante!V$1,ipc!$A:$D,4,FALSE)/1000000,"")</f>
        <v/>
      </c>
      <c r="W2" s="8">
        <f>IFERROR('dataset- CAIF corriente'!W4*VLOOKUP(constante!W$1,ipc!$A:$D,4,FALSE)/1000000,"")</f>
        <v/>
      </c>
      <c r="X2" s="8">
        <f>IFERROR('dataset- CAIF corriente'!X4*VLOOKUP(constante!X$1,ipc!$A:$D,4,FALSE)/1000000,"")</f>
        <v/>
      </c>
      <c r="Y2" s="8">
        <f>IFERROR('dataset- CAIF corriente'!Y4*VLOOKUP(constante!Y$1,ipc!$A:$D,4,FALSE)/1000000,"")</f>
        <v/>
      </c>
      <c r="Z2" s="8">
        <f>IFERROR('dataset- CAIF corriente'!Z4*VLOOKUP(constante!Z$1,ipc!$A:$D,4,FALSE)/1000000,"")</f>
        <v/>
      </c>
      <c r="AA2" s="8">
        <f>IFERROR('dataset- CAIF corriente'!AA4*VLOOKUP(constante!AA$1,ipc!$A:$D,4,FALSE)/1000000,"")</f>
        <v/>
      </c>
      <c r="AB2" s="8">
        <f>IFERROR('dataset- CAIF corriente'!AB4*VLOOKUP(constante!AB$1,ipc!$A:$D,4,FALSE)/1000000,"")</f>
        <v/>
      </c>
      <c r="AC2" s="8">
        <f>IFERROR('dataset- CAIF corriente'!AC4*VLOOKUP(constante!AC$1,ipc!$A:$D,4,FALSE)/1000000,"")</f>
        <v/>
      </c>
      <c r="AD2" s="8">
        <f>IFERROR('dataset- CAIF corriente'!AD4*VLOOKUP(constante!AD$1,ipc!$A:$D,4,FALSE)/1000000,"")</f>
        <v/>
      </c>
      <c r="AE2" s="8">
        <f>IFERROR('dataset- CAIF corriente'!AE4*VLOOKUP(constante!AE$1,ipc!$A:$D,4,FALSE)/1000000,"")</f>
        <v/>
      </c>
      <c r="AF2">
        <f>IFERROR('dataset- CAIF corriente'!AF4*VLOOKUP(constante!AF$1,ipc!$A:$D,4,FALSE)/1000000,"")</f>
        <v/>
      </c>
      <c r="AG2">
        <f>IFERROR('dataset- CAIF corriente'!AG4*VLOOKUP(constante!AG$1,ipc!$A:$D,4,FALSE)/1000000,"")</f>
        <v/>
      </c>
    </row>
    <row r="3">
      <c r="A3" s="9" t="inlineStr">
        <is>
          <t>Ingresos tributarios</t>
        </is>
      </c>
      <c r="B3" s="10">
        <f>IFERROR('dataset- CAIF corriente'!B5*VLOOKUP(constante!B$1,ipc!$A:$D,4,FALSE)/1000000,"")</f>
        <v/>
      </c>
      <c r="C3" s="10">
        <f>IFERROR('dataset- CAIF corriente'!C5*VLOOKUP(constante!C$1,ipc!$A:$D,4,FALSE)/1000000,"")</f>
        <v/>
      </c>
      <c r="D3" s="10">
        <f>IFERROR('dataset- CAIF corriente'!D5*VLOOKUP(constante!D$1,ipc!$A:$D,4,FALSE)/1000000,"")</f>
        <v/>
      </c>
      <c r="E3" s="10">
        <f>IFERROR('dataset- CAIF corriente'!E5*VLOOKUP(constante!E$1,ipc!$A:$D,4,FALSE)/1000000,"")</f>
        <v/>
      </c>
      <c r="F3" s="10">
        <f>IFERROR('dataset- CAIF corriente'!F5*VLOOKUP(constante!F$1,ipc!$A:$D,4,FALSE)/1000000,"")</f>
        <v/>
      </c>
      <c r="G3" s="10">
        <f>IFERROR('dataset- CAIF corriente'!G5*VLOOKUP(constante!G$1,ipc!$A:$D,4,FALSE)/1000000,"")</f>
        <v/>
      </c>
      <c r="H3" s="10">
        <f>IFERROR('dataset- CAIF corriente'!H5*VLOOKUP(constante!H$1,ipc!$A:$D,4,FALSE)/1000000,"")</f>
        <v/>
      </c>
      <c r="I3" s="10">
        <f>IFERROR('dataset- CAIF corriente'!I5*VLOOKUP(constante!I$1,ipc!$A:$D,4,FALSE)/1000000,"")</f>
        <v/>
      </c>
      <c r="J3" s="10">
        <f>IFERROR('dataset- CAIF corriente'!J5*VLOOKUP(constante!J$1,ipc!$A:$D,4,FALSE)/1000000,"")</f>
        <v/>
      </c>
      <c r="K3" s="10">
        <f>IFERROR('dataset- CAIF corriente'!K5*VLOOKUP(constante!K$1,ipc!$A:$D,4,FALSE)/1000000,"")</f>
        <v/>
      </c>
      <c r="L3" s="10">
        <f>IFERROR('dataset- CAIF corriente'!L5*VLOOKUP(constante!L$1,ipc!$A:$D,4,FALSE)/1000000,"")</f>
        <v/>
      </c>
      <c r="M3" s="10">
        <f>IFERROR('dataset- CAIF corriente'!M5*VLOOKUP(constante!M$1,ipc!$A:$D,4,FALSE)/1000000,"")</f>
        <v/>
      </c>
      <c r="N3" s="10">
        <f>IFERROR('dataset- CAIF corriente'!N5*VLOOKUP(constante!N$1,ipc!$A:$D,4,FALSE)/1000000,"")</f>
        <v/>
      </c>
      <c r="O3" s="10">
        <f>IFERROR('dataset- CAIF corriente'!O5*VLOOKUP(constante!O$1,ipc!$A:$D,4,FALSE)/1000000,"")</f>
        <v/>
      </c>
      <c r="P3" s="10">
        <f>IFERROR('dataset- CAIF corriente'!P5*VLOOKUP(constante!P$1,ipc!$A:$D,4,FALSE)/1000000,"")</f>
        <v/>
      </c>
      <c r="Q3" s="10">
        <f>IFERROR('dataset- CAIF corriente'!Q5*VLOOKUP(constante!Q$1,ipc!$A:$D,4,FALSE)/1000000,"")</f>
        <v/>
      </c>
      <c r="R3" s="10">
        <f>IFERROR('dataset- CAIF corriente'!R5*VLOOKUP(constante!R$1,ipc!$A:$D,4,FALSE)/1000000,"")</f>
        <v/>
      </c>
      <c r="S3" s="10">
        <f>IFERROR('dataset- CAIF corriente'!S5*VLOOKUP(constante!S$1,ipc!$A:$D,4,FALSE)/1000000,"")</f>
        <v/>
      </c>
      <c r="T3" s="10">
        <f>IFERROR('dataset- CAIF corriente'!T5*VLOOKUP(constante!T$1,ipc!$A:$D,4,FALSE)/1000000,"")</f>
        <v/>
      </c>
      <c r="U3" s="10">
        <f>IFERROR('dataset- CAIF corriente'!U5*VLOOKUP(constante!U$1,ipc!$A:$D,4,FALSE)/1000000,"")</f>
        <v/>
      </c>
      <c r="V3" s="10">
        <f>IFERROR('dataset- CAIF corriente'!V5*VLOOKUP(constante!V$1,ipc!$A:$D,4,FALSE)/1000000,"")</f>
        <v/>
      </c>
      <c r="W3" s="10">
        <f>IFERROR('dataset- CAIF corriente'!W5*VLOOKUP(constante!W$1,ipc!$A:$D,4,FALSE)/1000000,"")</f>
        <v/>
      </c>
      <c r="X3" s="10">
        <f>IFERROR('dataset- CAIF corriente'!X5*VLOOKUP(constante!X$1,ipc!$A:$D,4,FALSE)/1000000,"")</f>
        <v/>
      </c>
      <c r="Y3" s="10">
        <f>IFERROR('dataset- CAIF corriente'!Y5*VLOOKUP(constante!Y$1,ipc!$A:$D,4,FALSE)/1000000,"")</f>
        <v/>
      </c>
      <c r="Z3" s="10">
        <f>IFERROR('dataset- CAIF corriente'!Z5*VLOOKUP(constante!Z$1,ipc!$A:$D,4,FALSE)/1000000,"")</f>
        <v/>
      </c>
      <c r="AA3" s="10">
        <f>IFERROR('dataset- CAIF corriente'!AA5*VLOOKUP(constante!AA$1,ipc!$A:$D,4,FALSE)/1000000,"")</f>
        <v/>
      </c>
      <c r="AB3" s="10">
        <f>IFERROR('dataset- CAIF corriente'!AB5*VLOOKUP(constante!AB$1,ipc!$A:$D,4,FALSE)/1000000,"")</f>
        <v/>
      </c>
      <c r="AC3" s="10">
        <f>IFERROR('dataset- CAIF corriente'!AC5*VLOOKUP(constante!AC$1,ipc!$A:$D,4,FALSE)/1000000,"")</f>
        <v/>
      </c>
      <c r="AD3" s="10">
        <f>IFERROR('dataset- CAIF corriente'!AD5*VLOOKUP(constante!AD$1,ipc!$A:$D,4,FALSE)/1000000,"")</f>
        <v/>
      </c>
      <c r="AE3" s="10">
        <f>IFERROR('dataset- CAIF corriente'!AE5*VLOOKUP(constante!AE$1,ipc!$A:$D,4,FALSE)/1000000,"")</f>
        <v/>
      </c>
      <c r="AF3">
        <f>IFERROR('dataset- CAIF corriente'!AF5*VLOOKUP(constante!AF$1,ipc!$A:$D,4,FALSE)/1000000,"")</f>
        <v/>
      </c>
      <c r="AG3">
        <f>IFERROR('dataset- CAIF corriente'!AG5*VLOOKUP(constante!AG$1,ipc!$A:$D,4,FALSE)/1000000,"")</f>
        <v/>
      </c>
    </row>
    <row r="4">
      <c r="A4" s="9" t="inlineStr">
        <is>
          <t>Ingresos no tributarios</t>
        </is>
      </c>
      <c r="B4" s="10">
        <f>IFERROR('dataset- CAIF corriente'!B6*VLOOKUP(constante!B$1,ipc!$A:$D,4,FALSE)/1000000,"")</f>
        <v/>
      </c>
      <c r="C4" s="10">
        <f>IFERROR('dataset- CAIF corriente'!C6*VLOOKUP(constante!C$1,ipc!$A:$D,4,FALSE)/1000000,"")</f>
        <v/>
      </c>
      <c r="D4" s="10">
        <f>IFERROR('dataset- CAIF corriente'!D6*VLOOKUP(constante!D$1,ipc!$A:$D,4,FALSE)/1000000,"")</f>
        <v/>
      </c>
      <c r="E4" s="10">
        <f>IFERROR('dataset- CAIF corriente'!E6*VLOOKUP(constante!E$1,ipc!$A:$D,4,FALSE)/1000000,"")</f>
        <v/>
      </c>
      <c r="F4" s="10">
        <f>IFERROR('dataset- CAIF corriente'!F6*VLOOKUP(constante!F$1,ipc!$A:$D,4,FALSE)/1000000,"")</f>
        <v/>
      </c>
      <c r="G4" s="10">
        <f>IFERROR('dataset- CAIF corriente'!G6*VLOOKUP(constante!G$1,ipc!$A:$D,4,FALSE)/1000000,"")</f>
        <v/>
      </c>
      <c r="H4" s="10">
        <f>IFERROR('dataset- CAIF corriente'!H6*VLOOKUP(constante!H$1,ipc!$A:$D,4,FALSE)/1000000,"")</f>
        <v/>
      </c>
      <c r="I4" s="10">
        <f>IFERROR('dataset- CAIF corriente'!I6*VLOOKUP(constante!I$1,ipc!$A:$D,4,FALSE)/1000000,"")</f>
        <v/>
      </c>
      <c r="J4" s="10">
        <f>IFERROR('dataset- CAIF corriente'!J6*VLOOKUP(constante!J$1,ipc!$A:$D,4,FALSE)/1000000,"")</f>
        <v/>
      </c>
      <c r="K4" s="10">
        <f>IFERROR('dataset- CAIF corriente'!K6*VLOOKUP(constante!K$1,ipc!$A:$D,4,FALSE)/1000000,"")</f>
        <v/>
      </c>
      <c r="L4" s="10">
        <f>IFERROR('dataset- CAIF corriente'!L6*VLOOKUP(constante!L$1,ipc!$A:$D,4,FALSE)/1000000,"")</f>
        <v/>
      </c>
      <c r="M4" s="10">
        <f>IFERROR('dataset- CAIF corriente'!M6*VLOOKUP(constante!M$1,ipc!$A:$D,4,FALSE)/1000000,"")</f>
        <v/>
      </c>
      <c r="N4" s="10">
        <f>IFERROR('dataset- CAIF corriente'!N6*VLOOKUP(constante!N$1,ipc!$A:$D,4,FALSE)/1000000,"")</f>
        <v/>
      </c>
      <c r="O4" s="10">
        <f>IFERROR('dataset- CAIF corriente'!O6*VLOOKUP(constante!O$1,ipc!$A:$D,4,FALSE)/1000000,"")</f>
        <v/>
      </c>
      <c r="P4" s="10">
        <f>IFERROR('dataset- CAIF corriente'!P6*VLOOKUP(constante!P$1,ipc!$A:$D,4,FALSE)/1000000,"")</f>
        <v/>
      </c>
      <c r="Q4" s="10">
        <f>IFERROR('dataset- CAIF corriente'!Q6*VLOOKUP(constante!Q$1,ipc!$A:$D,4,FALSE)/1000000,"")</f>
        <v/>
      </c>
      <c r="R4" s="10">
        <f>IFERROR('dataset- CAIF corriente'!R6*VLOOKUP(constante!R$1,ipc!$A:$D,4,FALSE)/1000000,"")</f>
        <v/>
      </c>
      <c r="S4" s="10">
        <f>IFERROR('dataset- CAIF corriente'!S6*VLOOKUP(constante!S$1,ipc!$A:$D,4,FALSE)/1000000,"")</f>
        <v/>
      </c>
      <c r="T4" s="10">
        <f>IFERROR('dataset- CAIF corriente'!T6*VLOOKUP(constante!T$1,ipc!$A:$D,4,FALSE)/1000000,"")</f>
        <v/>
      </c>
      <c r="U4" s="10">
        <f>IFERROR('dataset- CAIF corriente'!U6*VLOOKUP(constante!U$1,ipc!$A:$D,4,FALSE)/1000000,"")</f>
        <v/>
      </c>
      <c r="V4" s="10">
        <f>IFERROR('dataset- CAIF corriente'!V6*VLOOKUP(constante!V$1,ipc!$A:$D,4,FALSE)/1000000,"")</f>
        <v/>
      </c>
      <c r="W4" s="10">
        <f>IFERROR('dataset- CAIF corriente'!W6*VLOOKUP(constante!W$1,ipc!$A:$D,4,FALSE)/1000000,"")</f>
        <v/>
      </c>
      <c r="X4" s="10">
        <f>IFERROR('dataset- CAIF corriente'!X6*VLOOKUP(constante!X$1,ipc!$A:$D,4,FALSE)/1000000,"")</f>
        <v/>
      </c>
      <c r="Y4" s="10">
        <f>IFERROR('dataset- CAIF corriente'!Y6*VLOOKUP(constante!Y$1,ipc!$A:$D,4,FALSE)/1000000,"")</f>
        <v/>
      </c>
      <c r="Z4" s="10">
        <f>IFERROR('dataset- CAIF corriente'!Z6*VLOOKUP(constante!Z$1,ipc!$A:$D,4,FALSE)/1000000,"")</f>
        <v/>
      </c>
      <c r="AA4" s="10">
        <f>IFERROR('dataset- CAIF corriente'!AA6*VLOOKUP(constante!AA$1,ipc!$A:$D,4,FALSE)/1000000,"")</f>
        <v/>
      </c>
      <c r="AB4" s="10">
        <f>IFERROR('dataset- CAIF corriente'!AB6*VLOOKUP(constante!AB$1,ipc!$A:$D,4,FALSE)/1000000,"")</f>
        <v/>
      </c>
      <c r="AC4" s="10">
        <f>IFERROR('dataset- CAIF corriente'!AC6*VLOOKUP(constante!AC$1,ipc!$A:$D,4,FALSE)/1000000,"")</f>
        <v/>
      </c>
      <c r="AD4" s="10">
        <f>IFERROR('dataset- CAIF corriente'!AD6*VLOOKUP(constante!AD$1,ipc!$A:$D,4,FALSE)/1000000,"")</f>
        <v/>
      </c>
      <c r="AE4" s="10">
        <f>IFERROR('dataset- CAIF corriente'!AE6*VLOOKUP(constante!AE$1,ipc!$A:$D,4,FALSE)/1000000,"")</f>
        <v/>
      </c>
      <c r="AF4">
        <f>IFERROR('dataset- CAIF corriente'!AF6*VLOOKUP(constante!AF$1,ipc!$A:$D,4,FALSE)/1000000,"")</f>
        <v/>
      </c>
      <c r="AG4">
        <f>IFERROR('dataset- CAIF corriente'!AG6*VLOOKUP(constante!AG$1,ipc!$A:$D,4,FALSE)/1000000,"")</f>
        <v/>
      </c>
    </row>
    <row r="5">
      <c r="A5" s="9" t="inlineStr">
        <is>
          <t xml:space="preserve">Venta de bienes y servicios </t>
        </is>
      </c>
      <c r="B5" s="10">
        <f>IFERROR('dataset- CAIF corriente'!B7*VLOOKUP(constante!B$1,ipc!$A:$D,4,FALSE)/1000000,"")</f>
        <v/>
      </c>
      <c r="C5" s="10">
        <f>IFERROR('dataset- CAIF corriente'!C7*VLOOKUP(constante!C$1,ipc!$A:$D,4,FALSE)/1000000,"")</f>
        <v/>
      </c>
      <c r="D5" s="10">
        <f>IFERROR('dataset- CAIF corriente'!D7*VLOOKUP(constante!D$1,ipc!$A:$D,4,FALSE)/1000000,"")</f>
        <v/>
      </c>
      <c r="E5" s="10">
        <f>IFERROR('dataset- CAIF corriente'!E7*VLOOKUP(constante!E$1,ipc!$A:$D,4,FALSE)/1000000,"")</f>
        <v/>
      </c>
      <c r="F5" s="10">
        <f>IFERROR('dataset- CAIF corriente'!F7*VLOOKUP(constante!F$1,ipc!$A:$D,4,FALSE)/1000000,"")</f>
        <v/>
      </c>
      <c r="G5" s="10">
        <f>IFERROR('dataset- CAIF corriente'!G7*VLOOKUP(constante!G$1,ipc!$A:$D,4,FALSE)/1000000,"")</f>
        <v/>
      </c>
      <c r="H5" s="10">
        <f>IFERROR('dataset- CAIF corriente'!H7*VLOOKUP(constante!H$1,ipc!$A:$D,4,FALSE)/1000000,"")</f>
        <v/>
      </c>
      <c r="I5" s="10">
        <f>IFERROR('dataset- CAIF corriente'!I7*VLOOKUP(constante!I$1,ipc!$A:$D,4,FALSE)/1000000,"")</f>
        <v/>
      </c>
      <c r="J5" s="10">
        <f>IFERROR('dataset- CAIF corriente'!J7*VLOOKUP(constante!J$1,ipc!$A:$D,4,FALSE)/1000000,"")</f>
        <v/>
      </c>
      <c r="K5" s="10">
        <f>IFERROR('dataset- CAIF corriente'!K7*VLOOKUP(constante!K$1,ipc!$A:$D,4,FALSE)/1000000,"")</f>
        <v/>
      </c>
      <c r="L5" s="10">
        <f>IFERROR('dataset- CAIF corriente'!L7*VLOOKUP(constante!L$1,ipc!$A:$D,4,FALSE)/1000000,"")</f>
        <v/>
      </c>
      <c r="M5" s="10">
        <f>IFERROR('dataset- CAIF corriente'!M7*VLOOKUP(constante!M$1,ipc!$A:$D,4,FALSE)/1000000,"")</f>
        <v/>
      </c>
      <c r="N5" s="10">
        <f>IFERROR('dataset- CAIF corriente'!N7*VLOOKUP(constante!N$1,ipc!$A:$D,4,FALSE)/1000000,"")</f>
        <v/>
      </c>
      <c r="O5" s="10">
        <f>IFERROR('dataset- CAIF corriente'!O7*VLOOKUP(constante!O$1,ipc!$A:$D,4,FALSE)/1000000,"")</f>
        <v/>
      </c>
      <c r="P5" s="10">
        <f>IFERROR('dataset- CAIF corriente'!P7*VLOOKUP(constante!P$1,ipc!$A:$D,4,FALSE)/1000000,"")</f>
        <v/>
      </c>
      <c r="Q5" s="10">
        <f>IFERROR('dataset- CAIF corriente'!Q7*VLOOKUP(constante!Q$1,ipc!$A:$D,4,FALSE)/1000000,"")</f>
        <v/>
      </c>
      <c r="R5" s="10">
        <f>IFERROR('dataset- CAIF corriente'!R7*VLOOKUP(constante!R$1,ipc!$A:$D,4,FALSE)/1000000,"")</f>
        <v/>
      </c>
      <c r="S5" s="10">
        <f>IFERROR('dataset- CAIF corriente'!S7*VLOOKUP(constante!S$1,ipc!$A:$D,4,FALSE)/1000000,"")</f>
        <v/>
      </c>
      <c r="T5" s="10">
        <f>IFERROR('dataset- CAIF corriente'!T7*VLOOKUP(constante!T$1,ipc!$A:$D,4,FALSE)/1000000,"")</f>
        <v/>
      </c>
      <c r="U5" s="10">
        <f>IFERROR('dataset- CAIF corriente'!U7*VLOOKUP(constante!U$1,ipc!$A:$D,4,FALSE)/1000000,"")</f>
        <v/>
      </c>
      <c r="V5" s="10">
        <f>IFERROR('dataset- CAIF corriente'!V7*VLOOKUP(constante!V$1,ipc!$A:$D,4,FALSE)/1000000,"")</f>
        <v/>
      </c>
      <c r="W5" s="10">
        <f>IFERROR('dataset- CAIF corriente'!W7*VLOOKUP(constante!W$1,ipc!$A:$D,4,FALSE)/1000000,"")</f>
        <v/>
      </c>
      <c r="X5" s="10">
        <f>IFERROR('dataset- CAIF corriente'!X7*VLOOKUP(constante!X$1,ipc!$A:$D,4,FALSE)/1000000,"")</f>
        <v/>
      </c>
      <c r="Y5" s="10">
        <f>IFERROR('dataset- CAIF corriente'!Y7*VLOOKUP(constante!Y$1,ipc!$A:$D,4,FALSE)/1000000,"")</f>
        <v/>
      </c>
      <c r="Z5" s="10">
        <f>IFERROR('dataset- CAIF corriente'!Z7*VLOOKUP(constante!Z$1,ipc!$A:$D,4,FALSE)/1000000,"")</f>
        <v/>
      </c>
      <c r="AA5" s="10">
        <f>IFERROR('dataset- CAIF corriente'!AA7*VLOOKUP(constante!AA$1,ipc!$A:$D,4,FALSE)/1000000,"")</f>
        <v/>
      </c>
      <c r="AB5" s="10">
        <f>IFERROR('dataset- CAIF corriente'!AB7*VLOOKUP(constante!AB$1,ipc!$A:$D,4,FALSE)/1000000,"")</f>
        <v/>
      </c>
      <c r="AC5" s="10">
        <f>IFERROR('dataset- CAIF corriente'!AC7*VLOOKUP(constante!AC$1,ipc!$A:$D,4,FALSE)/1000000,"")</f>
        <v/>
      </c>
      <c r="AD5" s="10">
        <f>IFERROR('dataset- CAIF corriente'!AD7*VLOOKUP(constante!AD$1,ipc!$A:$D,4,FALSE)/1000000,"")</f>
        <v/>
      </c>
      <c r="AE5" s="10">
        <f>IFERROR('dataset- CAIF corriente'!AE7*VLOOKUP(constante!AE$1,ipc!$A:$D,4,FALSE)/1000000,"")</f>
        <v/>
      </c>
      <c r="AF5">
        <f>IFERROR('dataset- CAIF corriente'!AF7*VLOOKUP(constante!AF$1,ipc!$A:$D,4,FALSE)/1000000,"")</f>
        <v/>
      </c>
      <c r="AG5">
        <f>IFERROR('dataset- CAIF corriente'!AG7*VLOOKUP(constante!AG$1,ipc!$A:$D,4,FALSE)/1000000,"")</f>
        <v/>
      </c>
    </row>
    <row r="6">
      <c r="A6" s="9" t="inlineStr">
        <is>
          <t>Rentas de la propiedad</t>
        </is>
      </c>
      <c r="B6" s="10">
        <f>IFERROR('dataset- CAIF corriente'!B8*VLOOKUP(constante!B$1,ipc!$A:$D,4,FALSE)/1000000,"")</f>
        <v/>
      </c>
      <c r="C6" s="10">
        <f>IFERROR('dataset- CAIF corriente'!C8*VLOOKUP(constante!C$1,ipc!$A:$D,4,FALSE)/1000000,"")</f>
        <v/>
      </c>
      <c r="D6" s="10">
        <f>IFERROR('dataset- CAIF corriente'!D8*VLOOKUP(constante!D$1,ipc!$A:$D,4,FALSE)/1000000,"")</f>
        <v/>
      </c>
      <c r="E6" s="10">
        <f>IFERROR('dataset- CAIF corriente'!E8*VLOOKUP(constante!E$1,ipc!$A:$D,4,FALSE)/1000000,"")</f>
        <v/>
      </c>
      <c r="F6" s="10">
        <f>IFERROR('dataset- CAIF corriente'!F8*VLOOKUP(constante!F$1,ipc!$A:$D,4,FALSE)/1000000,"")</f>
        <v/>
      </c>
      <c r="G6" s="10">
        <f>IFERROR('dataset- CAIF corriente'!G8*VLOOKUP(constante!G$1,ipc!$A:$D,4,FALSE)/1000000,"")</f>
        <v/>
      </c>
      <c r="H6" s="10">
        <f>IFERROR('dataset- CAIF corriente'!H8*VLOOKUP(constante!H$1,ipc!$A:$D,4,FALSE)/1000000,"")</f>
        <v/>
      </c>
      <c r="I6" s="10">
        <f>IFERROR('dataset- CAIF corriente'!I8*VLOOKUP(constante!I$1,ipc!$A:$D,4,FALSE)/1000000,"")</f>
        <v/>
      </c>
      <c r="J6" s="10">
        <f>IFERROR('dataset- CAIF corriente'!J8*VLOOKUP(constante!J$1,ipc!$A:$D,4,FALSE)/1000000,"")</f>
        <v/>
      </c>
      <c r="K6" s="10">
        <f>IFERROR('dataset- CAIF corriente'!K8*VLOOKUP(constante!K$1,ipc!$A:$D,4,FALSE)/1000000,"")</f>
        <v/>
      </c>
      <c r="L6" s="10">
        <f>IFERROR('dataset- CAIF corriente'!L8*VLOOKUP(constante!L$1,ipc!$A:$D,4,FALSE)/1000000,"")</f>
        <v/>
      </c>
      <c r="M6" s="10">
        <f>IFERROR('dataset- CAIF corriente'!M8*VLOOKUP(constante!M$1,ipc!$A:$D,4,FALSE)/1000000,"")</f>
        <v/>
      </c>
      <c r="N6" s="10">
        <f>IFERROR('dataset- CAIF corriente'!N8*VLOOKUP(constante!N$1,ipc!$A:$D,4,FALSE)/1000000,"")</f>
        <v/>
      </c>
      <c r="O6" s="10">
        <f>IFERROR('dataset- CAIF corriente'!O8*VLOOKUP(constante!O$1,ipc!$A:$D,4,FALSE)/1000000,"")</f>
        <v/>
      </c>
      <c r="P6" s="10">
        <f>IFERROR('dataset- CAIF corriente'!P8*VLOOKUP(constante!P$1,ipc!$A:$D,4,FALSE)/1000000,"")</f>
        <v/>
      </c>
      <c r="Q6" s="10">
        <f>IFERROR('dataset- CAIF corriente'!Q8*VLOOKUP(constante!Q$1,ipc!$A:$D,4,FALSE)/1000000,"")</f>
        <v/>
      </c>
      <c r="R6" s="10">
        <f>IFERROR('dataset- CAIF corriente'!R8*VLOOKUP(constante!R$1,ipc!$A:$D,4,FALSE)/1000000,"")</f>
        <v/>
      </c>
      <c r="S6" s="10">
        <f>IFERROR('dataset- CAIF corriente'!S8*VLOOKUP(constante!S$1,ipc!$A:$D,4,FALSE)/1000000,"")</f>
        <v/>
      </c>
      <c r="T6" s="10">
        <f>IFERROR('dataset- CAIF corriente'!T8*VLOOKUP(constante!T$1,ipc!$A:$D,4,FALSE)/1000000,"")</f>
        <v/>
      </c>
      <c r="U6" s="10">
        <f>IFERROR('dataset- CAIF corriente'!U8*VLOOKUP(constante!U$1,ipc!$A:$D,4,FALSE)/1000000,"")</f>
        <v/>
      </c>
      <c r="V6" s="10">
        <f>IFERROR('dataset- CAIF corriente'!V8*VLOOKUP(constante!V$1,ipc!$A:$D,4,FALSE)/1000000,"")</f>
        <v/>
      </c>
      <c r="W6" s="10">
        <f>IFERROR('dataset- CAIF corriente'!W8*VLOOKUP(constante!W$1,ipc!$A:$D,4,FALSE)/1000000,"")</f>
        <v/>
      </c>
      <c r="X6" s="10">
        <f>IFERROR('dataset- CAIF corriente'!X8*VLOOKUP(constante!X$1,ipc!$A:$D,4,FALSE)/1000000,"")</f>
        <v/>
      </c>
      <c r="Y6" s="10">
        <f>IFERROR('dataset- CAIF corriente'!Y8*VLOOKUP(constante!Y$1,ipc!$A:$D,4,FALSE)/1000000,"")</f>
        <v/>
      </c>
      <c r="Z6" s="10">
        <f>IFERROR('dataset- CAIF corriente'!Z8*VLOOKUP(constante!Z$1,ipc!$A:$D,4,FALSE)/1000000,"")</f>
        <v/>
      </c>
      <c r="AA6" s="10">
        <f>IFERROR('dataset- CAIF corriente'!AA8*VLOOKUP(constante!AA$1,ipc!$A:$D,4,FALSE)/1000000,"")</f>
        <v/>
      </c>
      <c r="AB6" s="10">
        <f>IFERROR('dataset- CAIF corriente'!AB8*VLOOKUP(constante!AB$1,ipc!$A:$D,4,FALSE)/1000000,"")</f>
        <v/>
      </c>
      <c r="AC6" s="10">
        <f>IFERROR('dataset- CAIF corriente'!AC8*VLOOKUP(constante!AC$1,ipc!$A:$D,4,FALSE)/1000000,"")</f>
        <v/>
      </c>
      <c r="AD6" s="10">
        <f>IFERROR('dataset- CAIF corriente'!AD8*VLOOKUP(constante!AD$1,ipc!$A:$D,4,FALSE)/1000000,"")</f>
        <v/>
      </c>
      <c r="AE6" s="10">
        <f>IFERROR('dataset- CAIF corriente'!AE8*VLOOKUP(constante!AE$1,ipc!$A:$D,4,FALSE)/1000000,"")</f>
        <v/>
      </c>
      <c r="AF6">
        <f>IFERROR('dataset- CAIF corriente'!AF8*VLOOKUP(constante!AF$1,ipc!$A:$D,4,FALSE)/1000000,"")</f>
        <v/>
      </c>
      <c r="AG6">
        <f>IFERROR('dataset- CAIF corriente'!AG8*VLOOKUP(constante!AG$1,ipc!$A:$D,4,FALSE)/1000000,"")</f>
        <v/>
      </c>
    </row>
    <row r="7">
      <c r="A7" s="9" t="inlineStr">
        <is>
          <t>Transferencias corrientes</t>
        </is>
      </c>
      <c r="B7" s="10">
        <f>IFERROR('dataset- CAIF corriente'!B9*VLOOKUP(constante!B$1,ipc!$A:$D,4,FALSE)/1000000,"")</f>
        <v/>
      </c>
      <c r="C7" s="10">
        <f>IFERROR('dataset- CAIF corriente'!C9*VLOOKUP(constante!C$1,ipc!$A:$D,4,FALSE)/1000000,"")</f>
        <v/>
      </c>
      <c r="D7" s="10">
        <f>IFERROR('dataset- CAIF corriente'!D9*VLOOKUP(constante!D$1,ipc!$A:$D,4,FALSE)/1000000,"")</f>
        <v/>
      </c>
      <c r="E7" s="10">
        <f>IFERROR('dataset- CAIF corriente'!E9*VLOOKUP(constante!E$1,ipc!$A:$D,4,FALSE)/1000000,"")</f>
        <v/>
      </c>
      <c r="F7" s="10">
        <f>IFERROR('dataset- CAIF corriente'!F9*VLOOKUP(constante!F$1,ipc!$A:$D,4,FALSE)/1000000,"")</f>
        <v/>
      </c>
      <c r="G7" s="10">
        <f>IFERROR('dataset- CAIF corriente'!G9*VLOOKUP(constante!G$1,ipc!$A:$D,4,FALSE)/1000000,"")</f>
        <v/>
      </c>
      <c r="H7" s="10">
        <f>IFERROR('dataset- CAIF corriente'!H9*VLOOKUP(constante!H$1,ipc!$A:$D,4,FALSE)/1000000,"")</f>
        <v/>
      </c>
      <c r="I7" s="10">
        <f>IFERROR('dataset- CAIF corriente'!I9*VLOOKUP(constante!I$1,ipc!$A:$D,4,FALSE)/1000000,"")</f>
        <v/>
      </c>
      <c r="J7" s="10">
        <f>IFERROR('dataset- CAIF corriente'!J9*VLOOKUP(constante!J$1,ipc!$A:$D,4,FALSE)/1000000,"")</f>
        <v/>
      </c>
      <c r="K7" s="10">
        <f>IFERROR('dataset- CAIF corriente'!K9*VLOOKUP(constante!K$1,ipc!$A:$D,4,FALSE)/1000000,"")</f>
        <v/>
      </c>
      <c r="L7" s="10">
        <f>IFERROR('dataset- CAIF corriente'!L9*VLOOKUP(constante!L$1,ipc!$A:$D,4,FALSE)/1000000,"")</f>
        <v/>
      </c>
      <c r="M7" s="10">
        <f>IFERROR('dataset- CAIF corriente'!M9*VLOOKUP(constante!M$1,ipc!$A:$D,4,FALSE)/1000000,"")</f>
        <v/>
      </c>
      <c r="N7" s="10">
        <f>IFERROR('dataset- CAIF corriente'!N9*VLOOKUP(constante!N$1,ipc!$A:$D,4,FALSE)/1000000,"")</f>
        <v/>
      </c>
      <c r="O7" s="10">
        <f>IFERROR('dataset- CAIF corriente'!O9*VLOOKUP(constante!O$1,ipc!$A:$D,4,FALSE)/1000000,"")</f>
        <v/>
      </c>
      <c r="P7" s="10">
        <f>IFERROR('dataset- CAIF corriente'!P9*VLOOKUP(constante!P$1,ipc!$A:$D,4,FALSE)/1000000,"")</f>
        <v/>
      </c>
      <c r="Q7" s="10">
        <f>IFERROR('dataset- CAIF corriente'!Q9*VLOOKUP(constante!Q$1,ipc!$A:$D,4,FALSE)/1000000,"")</f>
        <v/>
      </c>
      <c r="R7" s="10">
        <f>IFERROR('dataset- CAIF corriente'!R9*VLOOKUP(constante!R$1,ipc!$A:$D,4,FALSE)/1000000,"")</f>
        <v/>
      </c>
      <c r="S7" s="10">
        <f>IFERROR('dataset- CAIF corriente'!S9*VLOOKUP(constante!S$1,ipc!$A:$D,4,FALSE)/1000000,"")</f>
        <v/>
      </c>
      <c r="T7" s="10">
        <f>IFERROR('dataset- CAIF corriente'!T9*VLOOKUP(constante!T$1,ipc!$A:$D,4,FALSE)/1000000,"")</f>
        <v/>
      </c>
      <c r="U7" s="10">
        <f>IFERROR('dataset- CAIF corriente'!U9*VLOOKUP(constante!U$1,ipc!$A:$D,4,FALSE)/1000000,"")</f>
        <v/>
      </c>
      <c r="V7" s="10">
        <f>IFERROR('dataset- CAIF corriente'!V9*VLOOKUP(constante!V$1,ipc!$A:$D,4,FALSE)/1000000,"")</f>
        <v/>
      </c>
      <c r="W7" s="10">
        <f>IFERROR('dataset- CAIF corriente'!W9*VLOOKUP(constante!W$1,ipc!$A:$D,4,FALSE)/1000000,"")</f>
        <v/>
      </c>
      <c r="X7" s="10">
        <f>IFERROR('dataset- CAIF corriente'!X9*VLOOKUP(constante!X$1,ipc!$A:$D,4,FALSE)/1000000,"")</f>
        <v/>
      </c>
      <c r="Y7" s="10">
        <f>IFERROR('dataset- CAIF corriente'!Y9*VLOOKUP(constante!Y$1,ipc!$A:$D,4,FALSE)/1000000,"")</f>
        <v/>
      </c>
      <c r="Z7" s="10">
        <f>IFERROR('dataset- CAIF corriente'!Z9*VLOOKUP(constante!Z$1,ipc!$A:$D,4,FALSE)/1000000,"")</f>
        <v/>
      </c>
      <c r="AA7" s="10">
        <f>IFERROR('dataset- CAIF corriente'!AA9*VLOOKUP(constante!AA$1,ipc!$A:$D,4,FALSE)/1000000,"")</f>
        <v/>
      </c>
      <c r="AB7" s="10">
        <f>IFERROR('dataset- CAIF corriente'!AB9*VLOOKUP(constante!AB$1,ipc!$A:$D,4,FALSE)/1000000,"")</f>
        <v/>
      </c>
      <c r="AC7" s="10">
        <f>IFERROR('dataset- CAIF corriente'!AC9*VLOOKUP(constante!AC$1,ipc!$A:$D,4,FALSE)/1000000,"")</f>
        <v/>
      </c>
      <c r="AD7" s="10">
        <f>IFERROR('dataset- CAIF corriente'!AD9*VLOOKUP(constante!AD$1,ipc!$A:$D,4,FALSE)/1000000,"")</f>
        <v/>
      </c>
      <c r="AE7" s="10">
        <f>IFERROR('dataset- CAIF corriente'!AE9*VLOOKUP(constante!AE$1,ipc!$A:$D,4,FALSE)/1000000,"")</f>
        <v/>
      </c>
      <c r="AF7">
        <f>IFERROR('dataset- CAIF corriente'!AF9*VLOOKUP(constante!AF$1,ipc!$A:$D,4,FALSE)/1000000,"")</f>
        <v/>
      </c>
      <c r="AG7">
        <f>IFERROR('dataset- CAIF corriente'!AG9*VLOOKUP(constante!AG$1,ipc!$A:$D,4,FALSE)/1000000,"")</f>
        <v/>
      </c>
    </row>
    <row r="8">
      <c r="A8" s="7" t="inlineStr">
        <is>
          <t>2) Gastos corrientes</t>
        </is>
      </c>
      <c r="B8" s="8">
        <f>IFERROR('dataset- CAIF corriente'!B10*VLOOKUP(constante!B$1,ipc!$A:$D,4,FALSE)/1000000,"")</f>
        <v/>
      </c>
      <c r="C8" s="8">
        <f>IFERROR('dataset- CAIF corriente'!C10*VLOOKUP(constante!C$1,ipc!$A:$D,4,FALSE)/1000000,"")</f>
        <v/>
      </c>
      <c r="D8" s="8">
        <f>IFERROR('dataset- CAIF corriente'!D10*VLOOKUP(constante!D$1,ipc!$A:$D,4,FALSE)/1000000,"")</f>
        <v/>
      </c>
      <c r="E8" s="8">
        <f>IFERROR('dataset- CAIF corriente'!E10*VLOOKUP(constante!E$1,ipc!$A:$D,4,FALSE)/1000000,"")</f>
        <v/>
      </c>
      <c r="F8" s="8">
        <f>IFERROR('dataset- CAIF corriente'!F10*VLOOKUP(constante!F$1,ipc!$A:$D,4,FALSE)/1000000,"")</f>
        <v/>
      </c>
      <c r="G8" s="8">
        <f>IFERROR('dataset- CAIF corriente'!G10*VLOOKUP(constante!G$1,ipc!$A:$D,4,FALSE)/1000000,"")</f>
        <v/>
      </c>
      <c r="H8" s="8">
        <f>IFERROR('dataset- CAIF corriente'!H10*VLOOKUP(constante!H$1,ipc!$A:$D,4,FALSE)/1000000,"")</f>
        <v/>
      </c>
      <c r="I8" s="8">
        <f>IFERROR('dataset- CAIF corriente'!I10*VLOOKUP(constante!I$1,ipc!$A:$D,4,FALSE)/1000000,"")</f>
        <v/>
      </c>
      <c r="J8" s="8">
        <f>IFERROR('dataset- CAIF corriente'!J10*VLOOKUP(constante!J$1,ipc!$A:$D,4,FALSE)/1000000,"")</f>
        <v/>
      </c>
      <c r="K8" s="8">
        <f>IFERROR('dataset- CAIF corriente'!K10*VLOOKUP(constante!K$1,ipc!$A:$D,4,FALSE)/1000000,"")</f>
        <v/>
      </c>
      <c r="L8" s="8">
        <f>IFERROR('dataset- CAIF corriente'!L10*VLOOKUP(constante!L$1,ipc!$A:$D,4,FALSE)/1000000,"")</f>
        <v/>
      </c>
      <c r="M8" s="8">
        <f>IFERROR('dataset- CAIF corriente'!M10*VLOOKUP(constante!M$1,ipc!$A:$D,4,FALSE)/1000000,"")</f>
        <v/>
      </c>
      <c r="N8" s="8">
        <f>IFERROR('dataset- CAIF corriente'!N10*VLOOKUP(constante!N$1,ipc!$A:$D,4,FALSE)/1000000,"")</f>
        <v/>
      </c>
      <c r="O8" s="8">
        <f>IFERROR('dataset- CAIF corriente'!O10*VLOOKUP(constante!O$1,ipc!$A:$D,4,FALSE)/1000000,"")</f>
        <v/>
      </c>
      <c r="P8" s="8">
        <f>IFERROR('dataset- CAIF corriente'!P10*VLOOKUP(constante!P$1,ipc!$A:$D,4,FALSE)/1000000,"")</f>
        <v/>
      </c>
      <c r="Q8" s="8">
        <f>IFERROR('dataset- CAIF corriente'!Q10*VLOOKUP(constante!Q$1,ipc!$A:$D,4,FALSE)/1000000,"")</f>
        <v/>
      </c>
      <c r="R8" s="8">
        <f>IFERROR('dataset- CAIF corriente'!R10*VLOOKUP(constante!R$1,ipc!$A:$D,4,FALSE)/1000000,"")</f>
        <v/>
      </c>
      <c r="S8" s="8">
        <f>IFERROR('dataset- CAIF corriente'!S10*VLOOKUP(constante!S$1,ipc!$A:$D,4,FALSE)/1000000,"")</f>
        <v/>
      </c>
      <c r="T8" s="8">
        <f>IFERROR('dataset- CAIF corriente'!T10*VLOOKUP(constante!T$1,ipc!$A:$D,4,FALSE)/1000000,"")</f>
        <v/>
      </c>
      <c r="U8" s="8">
        <f>IFERROR('dataset- CAIF corriente'!U10*VLOOKUP(constante!U$1,ipc!$A:$D,4,FALSE)/1000000,"")</f>
        <v/>
      </c>
      <c r="V8" s="8">
        <f>IFERROR('dataset- CAIF corriente'!V10*VLOOKUP(constante!V$1,ipc!$A:$D,4,FALSE)/1000000,"")</f>
        <v/>
      </c>
      <c r="W8" s="8">
        <f>IFERROR('dataset- CAIF corriente'!W10*VLOOKUP(constante!W$1,ipc!$A:$D,4,FALSE)/1000000,"")</f>
        <v/>
      </c>
      <c r="X8" s="8">
        <f>IFERROR('dataset- CAIF corriente'!X10*VLOOKUP(constante!X$1,ipc!$A:$D,4,FALSE)/1000000,"")</f>
        <v/>
      </c>
      <c r="Y8" s="8">
        <f>IFERROR('dataset- CAIF corriente'!Y10*VLOOKUP(constante!Y$1,ipc!$A:$D,4,FALSE)/1000000,"")</f>
        <v/>
      </c>
      <c r="Z8" s="8">
        <f>IFERROR('dataset- CAIF corriente'!Z10*VLOOKUP(constante!Z$1,ipc!$A:$D,4,FALSE)/1000000,"")</f>
        <v/>
      </c>
      <c r="AA8" s="8">
        <f>IFERROR('dataset- CAIF corriente'!AA10*VLOOKUP(constante!AA$1,ipc!$A:$D,4,FALSE)/1000000,"")</f>
        <v/>
      </c>
      <c r="AB8" s="8">
        <f>IFERROR('dataset- CAIF corriente'!AB10*VLOOKUP(constante!AB$1,ipc!$A:$D,4,FALSE)/1000000,"")</f>
        <v/>
      </c>
      <c r="AC8" s="8">
        <f>IFERROR('dataset- CAIF corriente'!AC10*VLOOKUP(constante!AC$1,ipc!$A:$D,4,FALSE)/1000000,"")</f>
        <v/>
      </c>
      <c r="AD8" s="8">
        <f>IFERROR('dataset- CAIF corriente'!AD10*VLOOKUP(constante!AD$1,ipc!$A:$D,4,FALSE)/1000000,"")</f>
        <v/>
      </c>
      <c r="AE8" s="8">
        <f>IFERROR('dataset- CAIF corriente'!AE10*VLOOKUP(constante!AE$1,ipc!$A:$D,4,FALSE)/1000000,"")</f>
        <v/>
      </c>
      <c r="AF8">
        <f>IFERROR('dataset- CAIF corriente'!AF10*VLOOKUP(constante!AF$1,ipc!$A:$D,4,FALSE)/1000000,"")</f>
        <v/>
      </c>
      <c r="AG8">
        <f>IFERROR('dataset- CAIF corriente'!AG10*VLOOKUP(constante!AG$1,ipc!$A:$D,4,FALSE)/1000000,"")</f>
        <v/>
      </c>
    </row>
    <row r="9">
      <c r="A9" s="9" t="inlineStr">
        <is>
          <t>Remuneraciones al personal</t>
        </is>
      </c>
      <c r="B9" s="10">
        <f>IFERROR('dataset- CAIF corriente'!B11*VLOOKUP(constante!B$1,ipc!$A:$D,4,FALSE)/1000000,"")</f>
        <v/>
      </c>
      <c r="C9" s="10">
        <f>IFERROR('dataset- CAIF corriente'!C11*VLOOKUP(constante!C$1,ipc!$A:$D,4,FALSE)/1000000,"")</f>
        <v/>
      </c>
      <c r="D9" s="10">
        <f>IFERROR('dataset- CAIF corriente'!D11*VLOOKUP(constante!D$1,ipc!$A:$D,4,FALSE)/1000000,"")</f>
        <v/>
      </c>
      <c r="E9" s="10">
        <f>IFERROR('dataset- CAIF corriente'!E11*VLOOKUP(constante!E$1,ipc!$A:$D,4,FALSE)/1000000,"")</f>
        <v/>
      </c>
      <c r="F9" s="10">
        <f>IFERROR('dataset- CAIF corriente'!F11*VLOOKUP(constante!F$1,ipc!$A:$D,4,FALSE)/1000000,"")</f>
        <v/>
      </c>
      <c r="G9" s="10">
        <f>IFERROR('dataset- CAIF corriente'!G11*VLOOKUP(constante!G$1,ipc!$A:$D,4,FALSE)/1000000,"")</f>
        <v/>
      </c>
      <c r="H9" s="10">
        <f>IFERROR('dataset- CAIF corriente'!H11*VLOOKUP(constante!H$1,ipc!$A:$D,4,FALSE)/1000000,"")</f>
        <v/>
      </c>
      <c r="I9" s="10">
        <f>IFERROR('dataset- CAIF corriente'!I11*VLOOKUP(constante!I$1,ipc!$A:$D,4,FALSE)/1000000,"")</f>
        <v/>
      </c>
      <c r="J9" s="10">
        <f>IFERROR('dataset- CAIF corriente'!J11*VLOOKUP(constante!J$1,ipc!$A:$D,4,FALSE)/1000000,"")</f>
        <v/>
      </c>
      <c r="K9" s="10">
        <f>IFERROR('dataset- CAIF corriente'!K11*VLOOKUP(constante!K$1,ipc!$A:$D,4,FALSE)/1000000,"")</f>
        <v/>
      </c>
      <c r="L9" s="10">
        <f>IFERROR('dataset- CAIF corriente'!L11*VLOOKUP(constante!L$1,ipc!$A:$D,4,FALSE)/1000000,"")</f>
        <v/>
      </c>
      <c r="M9" s="10">
        <f>IFERROR('dataset- CAIF corriente'!M11*VLOOKUP(constante!M$1,ipc!$A:$D,4,FALSE)/1000000,"")</f>
        <v/>
      </c>
      <c r="N9" s="10">
        <f>IFERROR('dataset- CAIF corriente'!N11*VLOOKUP(constante!N$1,ipc!$A:$D,4,FALSE)/1000000,"")</f>
        <v/>
      </c>
      <c r="O9" s="10">
        <f>IFERROR('dataset- CAIF corriente'!O11*VLOOKUP(constante!O$1,ipc!$A:$D,4,FALSE)/1000000,"")</f>
        <v/>
      </c>
      <c r="P9" s="10">
        <f>IFERROR('dataset- CAIF corriente'!P11*VLOOKUP(constante!P$1,ipc!$A:$D,4,FALSE)/1000000,"")</f>
        <v/>
      </c>
      <c r="Q9" s="10">
        <f>IFERROR('dataset- CAIF corriente'!Q11*VLOOKUP(constante!Q$1,ipc!$A:$D,4,FALSE)/1000000,"")</f>
        <v/>
      </c>
      <c r="R9" s="10">
        <f>IFERROR('dataset- CAIF corriente'!R11*VLOOKUP(constante!R$1,ipc!$A:$D,4,FALSE)/1000000,"")</f>
        <v/>
      </c>
      <c r="S9" s="10">
        <f>IFERROR('dataset- CAIF corriente'!S11*VLOOKUP(constante!S$1,ipc!$A:$D,4,FALSE)/1000000,"")</f>
        <v/>
      </c>
      <c r="T9" s="10">
        <f>IFERROR('dataset- CAIF corriente'!T11*VLOOKUP(constante!T$1,ipc!$A:$D,4,FALSE)/1000000,"")</f>
        <v/>
      </c>
      <c r="U9" s="10">
        <f>IFERROR('dataset- CAIF corriente'!U11*VLOOKUP(constante!U$1,ipc!$A:$D,4,FALSE)/1000000,"")</f>
        <v/>
      </c>
      <c r="V9" s="10">
        <f>IFERROR('dataset- CAIF corriente'!V11*VLOOKUP(constante!V$1,ipc!$A:$D,4,FALSE)/1000000,"")</f>
        <v/>
      </c>
      <c r="W9" s="10">
        <f>IFERROR('dataset- CAIF corriente'!W11*VLOOKUP(constante!W$1,ipc!$A:$D,4,FALSE)/1000000,"")</f>
        <v/>
      </c>
      <c r="X9" s="10">
        <f>IFERROR('dataset- CAIF corriente'!X11*VLOOKUP(constante!X$1,ipc!$A:$D,4,FALSE)/1000000,"")</f>
        <v/>
      </c>
      <c r="Y9" s="10">
        <f>IFERROR('dataset- CAIF corriente'!Y11*VLOOKUP(constante!Y$1,ipc!$A:$D,4,FALSE)/1000000,"")</f>
        <v/>
      </c>
      <c r="Z9" s="10">
        <f>IFERROR('dataset- CAIF corriente'!Z11*VLOOKUP(constante!Z$1,ipc!$A:$D,4,FALSE)/1000000,"")</f>
        <v/>
      </c>
      <c r="AA9" s="10">
        <f>IFERROR('dataset- CAIF corriente'!AA11*VLOOKUP(constante!AA$1,ipc!$A:$D,4,FALSE)/1000000,"")</f>
        <v/>
      </c>
      <c r="AB9" s="10">
        <f>IFERROR('dataset- CAIF corriente'!AB11*VLOOKUP(constante!AB$1,ipc!$A:$D,4,FALSE)/1000000,"")</f>
        <v/>
      </c>
      <c r="AC9" s="10">
        <f>IFERROR('dataset- CAIF corriente'!AC11*VLOOKUP(constante!AC$1,ipc!$A:$D,4,FALSE)/1000000,"")</f>
        <v/>
      </c>
      <c r="AD9" s="10">
        <f>IFERROR('dataset- CAIF corriente'!AD11*VLOOKUP(constante!AD$1,ipc!$A:$D,4,FALSE)/1000000,"")</f>
        <v/>
      </c>
      <c r="AE9" s="10">
        <f>IFERROR('dataset- CAIF corriente'!AE11*VLOOKUP(constante!AE$1,ipc!$A:$D,4,FALSE)/1000000,"")</f>
        <v/>
      </c>
      <c r="AF9">
        <f>IFERROR('dataset- CAIF corriente'!AF11*VLOOKUP(constante!AF$1,ipc!$A:$D,4,FALSE)/1000000,"")</f>
        <v/>
      </c>
      <c r="AG9">
        <f>IFERROR('dataset- CAIF corriente'!AG11*VLOOKUP(constante!AG$1,ipc!$A:$D,4,FALSE)/1000000,"")</f>
        <v/>
      </c>
    </row>
    <row r="10">
      <c r="A10" s="9" t="inlineStr">
        <is>
          <t>Gastos de consumo</t>
        </is>
      </c>
      <c r="B10" s="10">
        <f>IFERROR('dataset- CAIF corriente'!B12*VLOOKUP(constante!B$1,ipc!$A:$D,4,FALSE)/1000000,"")</f>
        <v/>
      </c>
      <c r="C10" s="10">
        <f>IFERROR('dataset- CAIF corriente'!C12*VLOOKUP(constante!C$1,ipc!$A:$D,4,FALSE)/1000000,"")</f>
        <v/>
      </c>
      <c r="D10" s="10">
        <f>IFERROR('dataset- CAIF corriente'!D12*VLOOKUP(constante!D$1,ipc!$A:$D,4,FALSE)/1000000,"")</f>
        <v/>
      </c>
      <c r="E10" s="10">
        <f>IFERROR('dataset- CAIF corriente'!E12*VLOOKUP(constante!E$1,ipc!$A:$D,4,FALSE)/1000000,"")</f>
        <v/>
      </c>
      <c r="F10" s="10">
        <f>IFERROR('dataset- CAIF corriente'!F12*VLOOKUP(constante!F$1,ipc!$A:$D,4,FALSE)/1000000,"")</f>
        <v/>
      </c>
      <c r="G10" s="10">
        <f>IFERROR('dataset- CAIF corriente'!G12*VLOOKUP(constante!G$1,ipc!$A:$D,4,FALSE)/1000000,"")</f>
        <v/>
      </c>
      <c r="H10" s="10">
        <f>IFERROR('dataset- CAIF corriente'!H12*VLOOKUP(constante!H$1,ipc!$A:$D,4,FALSE)/1000000,"")</f>
        <v/>
      </c>
      <c r="I10" s="10">
        <f>IFERROR('dataset- CAIF corriente'!I12*VLOOKUP(constante!I$1,ipc!$A:$D,4,FALSE)/1000000,"")</f>
        <v/>
      </c>
      <c r="J10" s="10">
        <f>IFERROR('dataset- CAIF corriente'!J12*VLOOKUP(constante!J$1,ipc!$A:$D,4,FALSE)/1000000,"")</f>
        <v/>
      </c>
      <c r="K10" s="10">
        <f>IFERROR('dataset- CAIF corriente'!K12*VLOOKUP(constante!K$1,ipc!$A:$D,4,FALSE)/1000000,"")</f>
        <v/>
      </c>
      <c r="L10" s="10">
        <f>IFERROR('dataset- CAIF corriente'!L12*VLOOKUP(constante!L$1,ipc!$A:$D,4,FALSE)/1000000,"")</f>
        <v/>
      </c>
      <c r="M10" s="10">
        <f>IFERROR('dataset- CAIF corriente'!M12*VLOOKUP(constante!M$1,ipc!$A:$D,4,FALSE)/1000000,"")</f>
        <v/>
      </c>
      <c r="N10" s="10">
        <f>IFERROR('dataset- CAIF corriente'!N12*VLOOKUP(constante!N$1,ipc!$A:$D,4,FALSE)/1000000,"")</f>
        <v/>
      </c>
      <c r="O10" s="10">
        <f>IFERROR('dataset- CAIF corriente'!O12*VLOOKUP(constante!O$1,ipc!$A:$D,4,FALSE)/1000000,"")</f>
        <v/>
      </c>
      <c r="P10" s="10">
        <f>IFERROR('dataset- CAIF corriente'!P12*VLOOKUP(constante!P$1,ipc!$A:$D,4,FALSE)/1000000,"")</f>
        <v/>
      </c>
      <c r="Q10" s="10">
        <f>IFERROR('dataset- CAIF corriente'!Q12*VLOOKUP(constante!Q$1,ipc!$A:$D,4,FALSE)/1000000,"")</f>
        <v/>
      </c>
      <c r="R10" s="10">
        <f>IFERROR('dataset- CAIF corriente'!R12*VLOOKUP(constante!R$1,ipc!$A:$D,4,FALSE)/1000000,"")</f>
        <v/>
      </c>
      <c r="S10" s="10">
        <f>IFERROR('dataset- CAIF corriente'!S12*VLOOKUP(constante!S$1,ipc!$A:$D,4,FALSE)/1000000,"")</f>
        <v/>
      </c>
      <c r="T10" s="10">
        <f>IFERROR('dataset- CAIF corriente'!T12*VLOOKUP(constante!T$1,ipc!$A:$D,4,FALSE)/1000000,"")</f>
        <v/>
      </c>
      <c r="U10" s="10">
        <f>IFERROR('dataset- CAIF corriente'!U12*VLOOKUP(constante!U$1,ipc!$A:$D,4,FALSE)/1000000,"")</f>
        <v/>
      </c>
      <c r="V10" s="10">
        <f>IFERROR('dataset- CAIF corriente'!V12*VLOOKUP(constante!V$1,ipc!$A:$D,4,FALSE)/1000000,"")</f>
        <v/>
      </c>
      <c r="W10" s="10">
        <f>IFERROR('dataset- CAIF corriente'!W12*VLOOKUP(constante!W$1,ipc!$A:$D,4,FALSE)/1000000,"")</f>
        <v/>
      </c>
      <c r="X10" s="10">
        <f>IFERROR('dataset- CAIF corriente'!X12*VLOOKUP(constante!X$1,ipc!$A:$D,4,FALSE)/1000000,"")</f>
        <v/>
      </c>
      <c r="Y10" s="10">
        <f>IFERROR('dataset- CAIF corriente'!Y12*VLOOKUP(constante!Y$1,ipc!$A:$D,4,FALSE)/1000000,"")</f>
        <v/>
      </c>
      <c r="Z10" s="10">
        <f>IFERROR('dataset- CAIF corriente'!Z12*VLOOKUP(constante!Z$1,ipc!$A:$D,4,FALSE)/1000000,"")</f>
        <v/>
      </c>
      <c r="AA10" s="10">
        <f>IFERROR('dataset- CAIF corriente'!AA12*VLOOKUP(constante!AA$1,ipc!$A:$D,4,FALSE)/1000000,"")</f>
        <v/>
      </c>
      <c r="AB10" s="10">
        <f>IFERROR('dataset- CAIF corriente'!AB12*VLOOKUP(constante!AB$1,ipc!$A:$D,4,FALSE)/1000000,"")</f>
        <v/>
      </c>
      <c r="AC10" s="10">
        <f>IFERROR('dataset- CAIF corriente'!AC12*VLOOKUP(constante!AC$1,ipc!$A:$D,4,FALSE)/1000000,"")</f>
        <v/>
      </c>
      <c r="AD10" s="10">
        <f>IFERROR('dataset- CAIF corriente'!AD12*VLOOKUP(constante!AD$1,ipc!$A:$D,4,FALSE)/1000000,"")</f>
        <v/>
      </c>
      <c r="AE10" s="10">
        <f>IFERROR('dataset- CAIF corriente'!AE12*VLOOKUP(constante!AE$1,ipc!$A:$D,4,FALSE)/1000000,"")</f>
        <v/>
      </c>
      <c r="AF10">
        <f>IFERROR('dataset- CAIF corriente'!AF12*VLOOKUP(constante!AF$1,ipc!$A:$D,4,FALSE)/1000000,"")</f>
        <v/>
      </c>
      <c r="AG10">
        <f>IFERROR('dataset- CAIF corriente'!AG12*VLOOKUP(constante!AG$1,ipc!$A:$D,4,FALSE)/1000000,"")</f>
        <v/>
      </c>
    </row>
    <row r="11">
      <c r="A11" s="16" t="inlineStr">
        <is>
          <t xml:space="preserve">    Otras Pérdidas</t>
        </is>
      </c>
      <c r="B11" s="10">
        <f>IFERROR('dataset- CAIF corriente'!B13*VLOOKUP(constante!B$1,ipc!$A:$D,4,FALSE)/1000000,"")</f>
        <v/>
      </c>
      <c r="C11" s="10">
        <f>IFERROR('dataset- CAIF corriente'!C13*VLOOKUP(constante!C$1,ipc!$A:$D,4,FALSE)/1000000,"")</f>
        <v/>
      </c>
      <c r="D11" s="10">
        <f>IFERROR('dataset- CAIF corriente'!D13*VLOOKUP(constante!D$1,ipc!$A:$D,4,FALSE)/1000000,"")</f>
        <v/>
      </c>
      <c r="E11" s="10">
        <f>IFERROR('dataset- CAIF corriente'!E13*VLOOKUP(constante!E$1,ipc!$A:$D,4,FALSE)/1000000,"")</f>
        <v/>
      </c>
      <c r="F11" s="10">
        <f>IFERROR('dataset- CAIF corriente'!F13*VLOOKUP(constante!F$1,ipc!$A:$D,4,FALSE)/1000000,"")</f>
        <v/>
      </c>
      <c r="G11" s="10">
        <f>IFERROR('dataset- CAIF corriente'!G13*VLOOKUP(constante!G$1,ipc!$A:$D,4,FALSE)/1000000,"")</f>
        <v/>
      </c>
      <c r="H11" s="10">
        <f>IFERROR('dataset- CAIF corriente'!H13*VLOOKUP(constante!H$1,ipc!$A:$D,4,FALSE)/1000000,"")</f>
        <v/>
      </c>
      <c r="I11" s="10">
        <f>IFERROR('dataset- CAIF corriente'!I13*VLOOKUP(constante!I$1,ipc!$A:$D,4,FALSE)/1000000,"")</f>
        <v/>
      </c>
      <c r="J11" s="10">
        <f>IFERROR('dataset- CAIF corriente'!J13*VLOOKUP(constante!J$1,ipc!$A:$D,4,FALSE)/1000000,"")</f>
        <v/>
      </c>
      <c r="K11" s="10">
        <f>IFERROR('dataset- CAIF corriente'!K13*VLOOKUP(constante!K$1,ipc!$A:$D,4,FALSE)/1000000,"")</f>
        <v/>
      </c>
      <c r="L11" s="10">
        <f>IFERROR('dataset- CAIF corriente'!L13*VLOOKUP(constante!L$1,ipc!$A:$D,4,FALSE)/1000000,"")</f>
        <v/>
      </c>
      <c r="M11" s="10">
        <f>IFERROR('dataset- CAIF corriente'!M13*VLOOKUP(constante!M$1,ipc!$A:$D,4,FALSE)/1000000,"")</f>
        <v/>
      </c>
      <c r="N11" s="10">
        <f>IFERROR('dataset- CAIF corriente'!N13*VLOOKUP(constante!N$1,ipc!$A:$D,4,FALSE)/1000000,"")</f>
        <v/>
      </c>
      <c r="O11" s="10">
        <f>IFERROR('dataset- CAIF corriente'!O13*VLOOKUP(constante!O$1,ipc!$A:$D,4,FALSE)/1000000,"")</f>
        <v/>
      </c>
      <c r="P11" s="10">
        <f>IFERROR('dataset- CAIF corriente'!P13*VLOOKUP(constante!P$1,ipc!$A:$D,4,FALSE)/1000000,"")</f>
        <v/>
      </c>
      <c r="Q11" s="10">
        <f>IFERROR('dataset- CAIF corriente'!Q13*VLOOKUP(constante!Q$1,ipc!$A:$D,4,FALSE)/1000000,"")</f>
        <v/>
      </c>
      <c r="R11" s="10">
        <f>IFERROR('dataset- CAIF corriente'!R13*VLOOKUP(constante!R$1,ipc!$A:$D,4,FALSE)/1000000,"")</f>
        <v/>
      </c>
      <c r="S11" s="10">
        <f>IFERROR('dataset- CAIF corriente'!S13*VLOOKUP(constante!S$1,ipc!$A:$D,4,FALSE)/1000000,"")</f>
        <v/>
      </c>
      <c r="T11" s="10">
        <f>IFERROR('dataset- CAIF corriente'!T13*VLOOKUP(constante!T$1,ipc!$A:$D,4,FALSE)/1000000,"")</f>
        <v/>
      </c>
      <c r="U11" s="10">
        <f>IFERROR('dataset- CAIF corriente'!U13*VLOOKUP(constante!U$1,ipc!$A:$D,4,FALSE)/1000000,"")</f>
        <v/>
      </c>
      <c r="V11" s="10">
        <f>IFERROR('dataset- CAIF corriente'!V13*VLOOKUP(constante!V$1,ipc!$A:$D,4,FALSE)/1000000,"")</f>
        <v/>
      </c>
      <c r="W11" s="10">
        <f>IFERROR('dataset- CAIF corriente'!W13*VLOOKUP(constante!W$1,ipc!$A:$D,4,FALSE)/1000000,"")</f>
        <v/>
      </c>
      <c r="X11" s="10">
        <f>IFERROR('dataset- CAIF corriente'!X13*VLOOKUP(constante!X$1,ipc!$A:$D,4,FALSE)/1000000,"")</f>
        <v/>
      </c>
      <c r="Y11" s="10">
        <f>IFERROR('dataset- CAIF corriente'!Y13*VLOOKUP(constante!Y$1,ipc!$A:$D,4,FALSE)/1000000,"")</f>
        <v/>
      </c>
      <c r="Z11" s="10">
        <f>IFERROR('dataset- CAIF corriente'!Z13*VLOOKUP(constante!Z$1,ipc!$A:$D,4,FALSE)/1000000,"")</f>
        <v/>
      </c>
      <c r="AA11" s="10">
        <f>IFERROR('dataset- CAIF corriente'!AA13*VLOOKUP(constante!AA$1,ipc!$A:$D,4,FALSE)/1000000,"")</f>
        <v/>
      </c>
      <c r="AB11" s="10">
        <f>IFERROR('dataset- CAIF corriente'!AB13*VLOOKUP(constante!AB$1,ipc!$A:$D,4,FALSE)/1000000,"")</f>
        <v/>
      </c>
      <c r="AC11" s="10">
        <f>IFERROR('dataset- CAIF corriente'!AC13*VLOOKUP(constante!AC$1,ipc!$A:$D,4,FALSE)/1000000,"")</f>
        <v/>
      </c>
      <c r="AD11" s="10">
        <f>IFERROR('dataset- CAIF corriente'!AD13*VLOOKUP(constante!AD$1,ipc!$A:$D,4,FALSE)/1000000,"")</f>
        <v/>
      </c>
      <c r="AE11" s="10">
        <f>IFERROR('dataset- CAIF corriente'!AE13*VLOOKUP(constante!AE$1,ipc!$A:$D,4,FALSE)/1000000,"")</f>
        <v/>
      </c>
      <c r="AF11">
        <f>IFERROR('dataset- CAIF corriente'!AF13*VLOOKUP(constante!AF$1,ipc!$A:$D,4,FALSE)/1000000,"")</f>
        <v/>
      </c>
      <c r="AG11">
        <f>IFERROR('dataset- CAIF corriente'!AG13*VLOOKUP(constante!AG$1,ipc!$A:$D,4,FALSE)/1000000,"")</f>
        <v/>
      </c>
    </row>
    <row r="12">
      <c r="A12" s="9" t="inlineStr">
        <is>
          <t>Impuestos directos</t>
        </is>
      </c>
      <c r="B12" s="10">
        <f>IFERROR('dataset- CAIF corriente'!B14*VLOOKUP(constante!B$1,ipc!$A:$D,4,FALSE)/1000000,"")</f>
        <v/>
      </c>
      <c r="C12" s="10">
        <f>IFERROR('dataset- CAIF corriente'!C14*VLOOKUP(constante!C$1,ipc!$A:$D,4,FALSE)/1000000,"")</f>
        <v/>
      </c>
      <c r="D12" s="10">
        <f>IFERROR('dataset- CAIF corriente'!D14*VLOOKUP(constante!D$1,ipc!$A:$D,4,FALSE)/1000000,"")</f>
        <v/>
      </c>
      <c r="E12" s="10">
        <f>IFERROR('dataset- CAIF corriente'!E14*VLOOKUP(constante!E$1,ipc!$A:$D,4,FALSE)/1000000,"")</f>
        <v/>
      </c>
      <c r="F12" s="10">
        <f>IFERROR('dataset- CAIF corriente'!F14*VLOOKUP(constante!F$1,ipc!$A:$D,4,FALSE)/1000000,"")</f>
        <v/>
      </c>
      <c r="G12" s="10">
        <f>IFERROR('dataset- CAIF corriente'!G14*VLOOKUP(constante!G$1,ipc!$A:$D,4,FALSE)/1000000,"")</f>
        <v/>
      </c>
      <c r="H12" s="10">
        <f>IFERROR('dataset- CAIF corriente'!H14*VLOOKUP(constante!H$1,ipc!$A:$D,4,FALSE)/1000000,"")</f>
        <v/>
      </c>
      <c r="I12" s="10">
        <f>IFERROR('dataset- CAIF corriente'!I14*VLOOKUP(constante!I$1,ipc!$A:$D,4,FALSE)/1000000,"")</f>
        <v/>
      </c>
      <c r="J12" s="10">
        <f>IFERROR('dataset- CAIF corriente'!J14*VLOOKUP(constante!J$1,ipc!$A:$D,4,FALSE)/1000000,"")</f>
        <v/>
      </c>
      <c r="K12" s="10">
        <f>IFERROR('dataset- CAIF corriente'!K14*VLOOKUP(constante!K$1,ipc!$A:$D,4,FALSE)/1000000,"")</f>
        <v/>
      </c>
      <c r="L12" s="10">
        <f>IFERROR('dataset- CAIF corriente'!L14*VLOOKUP(constante!L$1,ipc!$A:$D,4,FALSE)/1000000,"")</f>
        <v/>
      </c>
      <c r="M12" s="10">
        <f>IFERROR('dataset- CAIF corriente'!M14*VLOOKUP(constante!M$1,ipc!$A:$D,4,FALSE)/1000000,"")</f>
        <v/>
      </c>
      <c r="N12" s="10">
        <f>IFERROR('dataset- CAIF corriente'!N14*VLOOKUP(constante!N$1,ipc!$A:$D,4,FALSE)/1000000,"")</f>
        <v/>
      </c>
      <c r="O12" s="10">
        <f>IFERROR('dataset- CAIF corriente'!O14*VLOOKUP(constante!O$1,ipc!$A:$D,4,FALSE)/1000000,"")</f>
        <v/>
      </c>
      <c r="P12" s="10">
        <f>IFERROR('dataset- CAIF corriente'!P14*VLOOKUP(constante!P$1,ipc!$A:$D,4,FALSE)/1000000,"")</f>
        <v/>
      </c>
      <c r="Q12" s="10">
        <f>IFERROR('dataset- CAIF corriente'!Q14*VLOOKUP(constante!Q$1,ipc!$A:$D,4,FALSE)/1000000,"")</f>
        <v/>
      </c>
      <c r="R12" s="10">
        <f>IFERROR('dataset- CAIF corriente'!R14*VLOOKUP(constante!R$1,ipc!$A:$D,4,FALSE)/1000000,"")</f>
        <v/>
      </c>
      <c r="S12" s="10">
        <f>IFERROR('dataset- CAIF corriente'!S14*VLOOKUP(constante!S$1,ipc!$A:$D,4,FALSE)/1000000,"")</f>
        <v/>
      </c>
      <c r="T12" s="10">
        <f>IFERROR('dataset- CAIF corriente'!T14*VLOOKUP(constante!T$1,ipc!$A:$D,4,FALSE)/1000000,"")</f>
        <v/>
      </c>
      <c r="U12" s="10">
        <f>IFERROR('dataset- CAIF corriente'!U14*VLOOKUP(constante!U$1,ipc!$A:$D,4,FALSE)/1000000,"")</f>
        <v/>
      </c>
      <c r="V12" s="10">
        <f>IFERROR('dataset- CAIF corriente'!V14*VLOOKUP(constante!V$1,ipc!$A:$D,4,FALSE)/1000000,"")</f>
        <v/>
      </c>
      <c r="W12" s="10">
        <f>IFERROR('dataset- CAIF corriente'!W14*VLOOKUP(constante!W$1,ipc!$A:$D,4,FALSE)/1000000,"")</f>
        <v/>
      </c>
      <c r="X12" s="10">
        <f>IFERROR('dataset- CAIF corriente'!X14*VLOOKUP(constante!X$1,ipc!$A:$D,4,FALSE)/1000000,"")</f>
        <v/>
      </c>
      <c r="Y12" s="10">
        <f>IFERROR('dataset- CAIF corriente'!Y14*VLOOKUP(constante!Y$1,ipc!$A:$D,4,FALSE)/1000000,"")</f>
        <v/>
      </c>
      <c r="Z12" s="10">
        <f>IFERROR('dataset- CAIF corriente'!Z14*VLOOKUP(constante!Z$1,ipc!$A:$D,4,FALSE)/1000000,"")</f>
        <v/>
      </c>
      <c r="AA12" s="10">
        <f>IFERROR('dataset- CAIF corriente'!AA14*VLOOKUP(constante!AA$1,ipc!$A:$D,4,FALSE)/1000000,"")</f>
        <v/>
      </c>
      <c r="AB12" s="10">
        <f>IFERROR('dataset- CAIF corriente'!AB14*VLOOKUP(constante!AB$1,ipc!$A:$D,4,FALSE)/1000000,"")</f>
        <v/>
      </c>
      <c r="AC12" s="10">
        <f>IFERROR('dataset- CAIF corriente'!AC14*VLOOKUP(constante!AC$1,ipc!$A:$D,4,FALSE)/1000000,"")</f>
        <v/>
      </c>
      <c r="AD12" s="10">
        <f>IFERROR('dataset- CAIF corriente'!AD14*VLOOKUP(constante!AD$1,ipc!$A:$D,4,FALSE)/1000000,"")</f>
        <v/>
      </c>
      <c r="AE12" s="10">
        <f>IFERROR('dataset- CAIF corriente'!AE14*VLOOKUP(constante!AE$1,ipc!$A:$D,4,FALSE)/1000000,"")</f>
        <v/>
      </c>
      <c r="AF12">
        <f>IFERROR('dataset- CAIF corriente'!AF14*VLOOKUP(constante!AF$1,ipc!$A:$D,4,FALSE)/1000000,"")</f>
        <v/>
      </c>
      <c r="AG12">
        <f>IFERROR('dataset- CAIF corriente'!AG14*VLOOKUP(constante!AG$1,ipc!$A:$D,4,FALSE)/1000000,"")</f>
        <v/>
      </c>
    </row>
    <row r="13">
      <c r="A13" s="9" t="inlineStr">
        <is>
          <t>Transferencias corrientes</t>
        </is>
      </c>
      <c r="B13" s="10">
        <f>IFERROR('dataset- CAIF corriente'!B15*VLOOKUP(constante!B$1,ipc!$A:$D,4,FALSE)/1000000,"")</f>
        <v/>
      </c>
      <c r="C13" s="10">
        <f>IFERROR('dataset- CAIF corriente'!C15*VLOOKUP(constante!C$1,ipc!$A:$D,4,FALSE)/1000000,"")</f>
        <v/>
      </c>
      <c r="D13" s="10">
        <f>IFERROR('dataset- CAIF corriente'!D15*VLOOKUP(constante!D$1,ipc!$A:$D,4,FALSE)/1000000,"")</f>
        <v/>
      </c>
      <c r="E13" s="10">
        <f>IFERROR('dataset- CAIF corriente'!E15*VLOOKUP(constante!E$1,ipc!$A:$D,4,FALSE)/1000000,"")</f>
        <v/>
      </c>
      <c r="F13" s="10">
        <f>IFERROR('dataset- CAIF corriente'!F15*VLOOKUP(constante!F$1,ipc!$A:$D,4,FALSE)/1000000,"")</f>
        <v/>
      </c>
      <c r="G13" s="10">
        <f>IFERROR('dataset- CAIF corriente'!G15*VLOOKUP(constante!G$1,ipc!$A:$D,4,FALSE)/1000000,"")</f>
        <v/>
      </c>
      <c r="H13" s="10">
        <f>IFERROR('dataset- CAIF corriente'!H15*VLOOKUP(constante!H$1,ipc!$A:$D,4,FALSE)/1000000,"")</f>
        <v/>
      </c>
      <c r="I13" s="10">
        <f>IFERROR('dataset- CAIF corriente'!I15*VLOOKUP(constante!I$1,ipc!$A:$D,4,FALSE)/1000000,"")</f>
        <v/>
      </c>
      <c r="J13" s="10">
        <f>IFERROR('dataset- CAIF corriente'!J15*VLOOKUP(constante!J$1,ipc!$A:$D,4,FALSE)/1000000,"")</f>
        <v/>
      </c>
      <c r="K13" s="10">
        <f>IFERROR('dataset- CAIF corriente'!K15*VLOOKUP(constante!K$1,ipc!$A:$D,4,FALSE)/1000000,"")</f>
        <v/>
      </c>
      <c r="L13" s="10">
        <f>IFERROR('dataset- CAIF corriente'!L15*VLOOKUP(constante!L$1,ipc!$A:$D,4,FALSE)/1000000,"")</f>
        <v/>
      </c>
      <c r="M13" s="10">
        <f>IFERROR('dataset- CAIF corriente'!M15*VLOOKUP(constante!M$1,ipc!$A:$D,4,FALSE)/1000000,"")</f>
        <v/>
      </c>
      <c r="N13" s="10">
        <f>IFERROR('dataset- CAIF corriente'!N15*VLOOKUP(constante!N$1,ipc!$A:$D,4,FALSE)/1000000,"")</f>
        <v/>
      </c>
      <c r="O13" s="10">
        <f>IFERROR('dataset- CAIF corriente'!O15*VLOOKUP(constante!O$1,ipc!$A:$D,4,FALSE)/1000000,"")</f>
        <v/>
      </c>
      <c r="P13" s="10">
        <f>IFERROR('dataset- CAIF corriente'!P15*VLOOKUP(constante!P$1,ipc!$A:$D,4,FALSE)/1000000,"")</f>
        <v/>
      </c>
      <c r="Q13" s="10">
        <f>IFERROR('dataset- CAIF corriente'!Q15*VLOOKUP(constante!Q$1,ipc!$A:$D,4,FALSE)/1000000,"")</f>
        <v/>
      </c>
      <c r="R13" s="10">
        <f>IFERROR('dataset- CAIF corriente'!R15*VLOOKUP(constante!R$1,ipc!$A:$D,4,FALSE)/1000000,"")</f>
        <v/>
      </c>
      <c r="S13" s="10">
        <f>IFERROR('dataset- CAIF corriente'!S15*VLOOKUP(constante!S$1,ipc!$A:$D,4,FALSE)/1000000,"")</f>
        <v/>
      </c>
      <c r="T13" s="10">
        <f>IFERROR('dataset- CAIF corriente'!T15*VLOOKUP(constante!T$1,ipc!$A:$D,4,FALSE)/1000000,"")</f>
        <v/>
      </c>
      <c r="U13" s="10">
        <f>IFERROR('dataset- CAIF corriente'!U15*VLOOKUP(constante!U$1,ipc!$A:$D,4,FALSE)/1000000,"")</f>
        <v/>
      </c>
      <c r="V13" s="10">
        <f>IFERROR('dataset- CAIF corriente'!V15*VLOOKUP(constante!V$1,ipc!$A:$D,4,FALSE)/1000000,"")</f>
        <v/>
      </c>
      <c r="W13" s="10">
        <f>IFERROR('dataset- CAIF corriente'!W15*VLOOKUP(constante!W$1,ipc!$A:$D,4,FALSE)/1000000,"")</f>
        <v/>
      </c>
      <c r="X13" s="10">
        <f>IFERROR('dataset- CAIF corriente'!X15*VLOOKUP(constante!X$1,ipc!$A:$D,4,FALSE)/1000000,"")</f>
        <v/>
      </c>
      <c r="Y13" s="10">
        <f>IFERROR('dataset- CAIF corriente'!Y15*VLOOKUP(constante!Y$1,ipc!$A:$D,4,FALSE)/1000000,"")</f>
        <v/>
      </c>
      <c r="Z13" s="10">
        <f>IFERROR('dataset- CAIF corriente'!Z15*VLOOKUP(constante!Z$1,ipc!$A:$D,4,FALSE)/1000000,"")</f>
        <v/>
      </c>
      <c r="AA13" s="10">
        <f>IFERROR('dataset- CAIF corriente'!AA15*VLOOKUP(constante!AA$1,ipc!$A:$D,4,FALSE)/1000000,"")</f>
        <v/>
      </c>
      <c r="AB13" s="10">
        <f>IFERROR('dataset- CAIF corriente'!AB15*VLOOKUP(constante!AB$1,ipc!$A:$D,4,FALSE)/1000000,"")</f>
        <v/>
      </c>
      <c r="AC13" s="10">
        <f>IFERROR('dataset- CAIF corriente'!AC15*VLOOKUP(constante!AC$1,ipc!$A:$D,4,FALSE)/1000000,"")</f>
        <v/>
      </c>
      <c r="AD13" s="10">
        <f>IFERROR('dataset- CAIF corriente'!AD15*VLOOKUP(constante!AD$1,ipc!$A:$D,4,FALSE)/1000000,"")</f>
        <v/>
      </c>
      <c r="AE13" s="10">
        <f>IFERROR('dataset- CAIF corriente'!AE15*VLOOKUP(constante!AE$1,ipc!$A:$D,4,FALSE)/1000000,"")</f>
        <v/>
      </c>
      <c r="AF13">
        <f>IFERROR('dataset- CAIF corriente'!AF15*VLOOKUP(constante!AF$1,ipc!$A:$D,4,FALSE)/1000000,"")</f>
        <v/>
      </c>
      <c r="AG13">
        <f>IFERROR('dataset- CAIF corriente'!AG15*VLOOKUP(constante!AG$1,ipc!$A:$D,4,FALSE)/1000000,"")</f>
        <v/>
      </c>
    </row>
    <row r="14">
      <c r="A14" s="7" t="inlineStr">
        <is>
          <t>3) Resultado económico (1-2)</t>
        </is>
      </c>
      <c r="B14" s="8">
        <f>IFERROR('dataset- CAIF corriente'!B16*VLOOKUP(constante!B$1,ipc!$A:$D,4,FALSE)/1000000,"")</f>
        <v/>
      </c>
      <c r="C14" s="8">
        <f>IFERROR('dataset- CAIF corriente'!C16*VLOOKUP(constante!C$1,ipc!$A:$D,4,FALSE)/1000000,"")</f>
        <v/>
      </c>
      <c r="D14" s="8">
        <f>IFERROR('dataset- CAIF corriente'!D16*VLOOKUP(constante!D$1,ipc!$A:$D,4,FALSE)/1000000,"")</f>
        <v/>
      </c>
      <c r="E14" s="8">
        <f>IFERROR('dataset- CAIF corriente'!E16*VLOOKUP(constante!E$1,ipc!$A:$D,4,FALSE)/1000000,"")</f>
        <v/>
      </c>
      <c r="F14" s="8">
        <f>IFERROR('dataset- CAIF corriente'!F16*VLOOKUP(constante!F$1,ipc!$A:$D,4,FALSE)/1000000,"")</f>
        <v/>
      </c>
      <c r="G14" s="8">
        <f>IFERROR('dataset- CAIF corriente'!G16*VLOOKUP(constante!G$1,ipc!$A:$D,4,FALSE)/1000000,"")</f>
        <v/>
      </c>
      <c r="H14" s="8">
        <f>IFERROR('dataset- CAIF corriente'!H16*VLOOKUP(constante!H$1,ipc!$A:$D,4,FALSE)/1000000,"")</f>
        <v/>
      </c>
      <c r="I14" s="8">
        <f>IFERROR('dataset- CAIF corriente'!I16*VLOOKUP(constante!I$1,ipc!$A:$D,4,FALSE)/1000000,"")</f>
        <v/>
      </c>
      <c r="J14" s="8">
        <f>IFERROR('dataset- CAIF corriente'!J16*VLOOKUP(constante!J$1,ipc!$A:$D,4,FALSE)/1000000,"")</f>
        <v/>
      </c>
      <c r="K14" s="8">
        <f>IFERROR('dataset- CAIF corriente'!K16*VLOOKUP(constante!K$1,ipc!$A:$D,4,FALSE)/1000000,"")</f>
        <v/>
      </c>
      <c r="L14" s="8">
        <f>IFERROR('dataset- CAIF corriente'!L16*VLOOKUP(constante!L$1,ipc!$A:$D,4,FALSE)/1000000,"")</f>
        <v/>
      </c>
      <c r="M14" s="8">
        <f>IFERROR('dataset- CAIF corriente'!M16*VLOOKUP(constante!M$1,ipc!$A:$D,4,FALSE)/1000000,"")</f>
        <v/>
      </c>
      <c r="N14" s="8">
        <f>IFERROR('dataset- CAIF corriente'!N16*VLOOKUP(constante!N$1,ipc!$A:$D,4,FALSE)/1000000,"")</f>
        <v/>
      </c>
      <c r="O14" s="8">
        <f>IFERROR('dataset- CAIF corriente'!O16*VLOOKUP(constante!O$1,ipc!$A:$D,4,FALSE)/1000000,"")</f>
        <v/>
      </c>
      <c r="P14" s="8">
        <f>IFERROR('dataset- CAIF corriente'!P16*VLOOKUP(constante!P$1,ipc!$A:$D,4,FALSE)/1000000,"")</f>
        <v/>
      </c>
      <c r="Q14" s="8">
        <f>IFERROR('dataset- CAIF corriente'!Q16*VLOOKUP(constante!Q$1,ipc!$A:$D,4,FALSE)/1000000,"")</f>
        <v/>
      </c>
      <c r="R14" s="8">
        <f>IFERROR('dataset- CAIF corriente'!R16*VLOOKUP(constante!R$1,ipc!$A:$D,4,FALSE)/1000000,"")</f>
        <v/>
      </c>
      <c r="S14" s="8">
        <f>IFERROR('dataset- CAIF corriente'!S16*VLOOKUP(constante!S$1,ipc!$A:$D,4,FALSE)/1000000,"")</f>
        <v/>
      </c>
      <c r="T14" s="8">
        <f>IFERROR('dataset- CAIF corriente'!T16*VLOOKUP(constante!T$1,ipc!$A:$D,4,FALSE)/1000000,"")</f>
        <v/>
      </c>
      <c r="U14" s="8">
        <f>IFERROR('dataset- CAIF corriente'!U16*VLOOKUP(constante!U$1,ipc!$A:$D,4,FALSE)/1000000,"")</f>
        <v/>
      </c>
      <c r="V14" s="8">
        <f>IFERROR('dataset- CAIF corriente'!V16*VLOOKUP(constante!V$1,ipc!$A:$D,4,FALSE)/1000000,"")</f>
        <v/>
      </c>
      <c r="W14" s="8">
        <f>IFERROR('dataset- CAIF corriente'!W16*VLOOKUP(constante!W$1,ipc!$A:$D,4,FALSE)/1000000,"")</f>
        <v/>
      </c>
      <c r="X14" s="8">
        <f>IFERROR('dataset- CAIF corriente'!X16*VLOOKUP(constante!X$1,ipc!$A:$D,4,FALSE)/1000000,"")</f>
        <v/>
      </c>
      <c r="Y14" s="8">
        <f>IFERROR('dataset- CAIF corriente'!Y16*VLOOKUP(constante!Y$1,ipc!$A:$D,4,FALSE)/1000000,"")</f>
        <v/>
      </c>
      <c r="Z14" s="8">
        <f>IFERROR('dataset- CAIF corriente'!Z16*VLOOKUP(constante!Z$1,ipc!$A:$D,4,FALSE)/1000000,"")</f>
        <v/>
      </c>
      <c r="AA14" s="8">
        <f>IFERROR('dataset- CAIF corriente'!AA16*VLOOKUP(constante!AA$1,ipc!$A:$D,4,FALSE)/1000000,"")</f>
        <v/>
      </c>
      <c r="AB14" s="8">
        <f>IFERROR('dataset- CAIF corriente'!AB16*VLOOKUP(constante!AB$1,ipc!$A:$D,4,FALSE)/1000000,"")</f>
        <v/>
      </c>
      <c r="AC14" s="8">
        <f>IFERROR('dataset- CAIF corriente'!AC16*VLOOKUP(constante!AC$1,ipc!$A:$D,4,FALSE)/1000000,"")</f>
        <v/>
      </c>
      <c r="AD14" s="8">
        <f>IFERROR('dataset- CAIF corriente'!AD16*VLOOKUP(constante!AD$1,ipc!$A:$D,4,FALSE)/1000000,"")</f>
        <v/>
      </c>
      <c r="AE14" s="8">
        <f>IFERROR('dataset- CAIF corriente'!AE16*VLOOKUP(constante!AE$1,ipc!$A:$D,4,FALSE)/1000000,"")</f>
        <v/>
      </c>
      <c r="AF14">
        <f>IFERROR('dataset- CAIF corriente'!AF16*VLOOKUP(constante!AF$1,ipc!$A:$D,4,FALSE)/1000000,"")</f>
        <v/>
      </c>
      <c r="AG14">
        <f>IFERROR('dataset- CAIF corriente'!AG16*VLOOKUP(constante!AG$1,ipc!$A:$D,4,FALSE)/1000000,"")</f>
        <v/>
      </c>
    </row>
    <row r="15">
      <c r="A15" s="7" t="inlineStr">
        <is>
          <t>4) Recursos de capital</t>
        </is>
      </c>
      <c r="B15" s="8">
        <f>IFERROR('dataset- CAIF corriente'!B17*VLOOKUP(constante!B$1,ipc!$A:$D,4,FALSE)/1000000,"")</f>
        <v/>
      </c>
      <c r="C15" s="8">
        <f>IFERROR('dataset- CAIF corriente'!C17*VLOOKUP(constante!C$1,ipc!$A:$D,4,FALSE)/1000000,"")</f>
        <v/>
      </c>
      <c r="D15" s="8">
        <f>IFERROR('dataset- CAIF corriente'!D17*VLOOKUP(constante!D$1,ipc!$A:$D,4,FALSE)/1000000,"")</f>
        <v/>
      </c>
      <c r="E15" s="8">
        <f>IFERROR('dataset- CAIF corriente'!E17*VLOOKUP(constante!E$1,ipc!$A:$D,4,FALSE)/1000000,"")</f>
        <v/>
      </c>
      <c r="F15" s="8">
        <f>IFERROR('dataset- CAIF corriente'!F17*VLOOKUP(constante!F$1,ipc!$A:$D,4,FALSE)/1000000,"")</f>
        <v/>
      </c>
      <c r="G15" s="8">
        <f>IFERROR('dataset- CAIF corriente'!G17*VLOOKUP(constante!G$1,ipc!$A:$D,4,FALSE)/1000000,"")</f>
        <v/>
      </c>
      <c r="H15" s="8">
        <f>IFERROR('dataset- CAIF corriente'!H17*VLOOKUP(constante!H$1,ipc!$A:$D,4,FALSE)/1000000,"")</f>
        <v/>
      </c>
      <c r="I15" s="8">
        <f>IFERROR('dataset- CAIF corriente'!I17*VLOOKUP(constante!I$1,ipc!$A:$D,4,FALSE)/1000000,"")</f>
        <v/>
      </c>
      <c r="J15" s="8">
        <f>IFERROR('dataset- CAIF corriente'!J17*VLOOKUP(constante!J$1,ipc!$A:$D,4,FALSE)/1000000,"")</f>
        <v/>
      </c>
      <c r="K15" s="8">
        <f>IFERROR('dataset- CAIF corriente'!K17*VLOOKUP(constante!K$1,ipc!$A:$D,4,FALSE)/1000000,"")</f>
        <v/>
      </c>
      <c r="L15" s="8">
        <f>IFERROR('dataset- CAIF corriente'!L17*VLOOKUP(constante!L$1,ipc!$A:$D,4,FALSE)/1000000,"")</f>
        <v/>
      </c>
      <c r="M15" s="8">
        <f>IFERROR('dataset- CAIF corriente'!M17*VLOOKUP(constante!M$1,ipc!$A:$D,4,FALSE)/1000000,"")</f>
        <v/>
      </c>
      <c r="N15" s="8">
        <f>IFERROR('dataset- CAIF corriente'!N17*VLOOKUP(constante!N$1,ipc!$A:$D,4,FALSE)/1000000,"")</f>
        <v/>
      </c>
      <c r="O15" s="8">
        <f>IFERROR('dataset- CAIF corriente'!O17*VLOOKUP(constante!O$1,ipc!$A:$D,4,FALSE)/1000000,"")</f>
        <v/>
      </c>
      <c r="P15" s="8">
        <f>IFERROR('dataset- CAIF corriente'!P17*VLOOKUP(constante!P$1,ipc!$A:$D,4,FALSE)/1000000,"")</f>
        <v/>
      </c>
      <c r="Q15" s="8">
        <f>IFERROR('dataset- CAIF corriente'!Q17*VLOOKUP(constante!Q$1,ipc!$A:$D,4,FALSE)/1000000,"")</f>
        <v/>
      </c>
      <c r="R15" s="8">
        <f>IFERROR('dataset- CAIF corriente'!R17*VLOOKUP(constante!R$1,ipc!$A:$D,4,FALSE)/1000000,"")</f>
        <v/>
      </c>
      <c r="S15" s="8">
        <f>IFERROR('dataset- CAIF corriente'!S17*VLOOKUP(constante!S$1,ipc!$A:$D,4,FALSE)/1000000,"")</f>
        <v/>
      </c>
      <c r="T15" s="8">
        <f>IFERROR('dataset- CAIF corriente'!T17*VLOOKUP(constante!T$1,ipc!$A:$D,4,FALSE)/1000000,"")</f>
        <v/>
      </c>
      <c r="U15" s="8">
        <f>IFERROR('dataset- CAIF corriente'!U17*VLOOKUP(constante!U$1,ipc!$A:$D,4,FALSE)/1000000,"")</f>
        <v/>
      </c>
      <c r="V15" s="8">
        <f>IFERROR('dataset- CAIF corriente'!V17*VLOOKUP(constante!V$1,ipc!$A:$D,4,FALSE)/1000000,"")</f>
        <v/>
      </c>
      <c r="W15" s="8">
        <f>IFERROR('dataset- CAIF corriente'!W17*VLOOKUP(constante!W$1,ipc!$A:$D,4,FALSE)/1000000,"")</f>
        <v/>
      </c>
      <c r="X15" s="8">
        <f>IFERROR('dataset- CAIF corriente'!X17*VLOOKUP(constante!X$1,ipc!$A:$D,4,FALSE)/1000000,"")</f>
        <v/>
      </c>
      <c r="Y15" s="8">
        <f>IFERROR('dataset- CAIF corriente'!Y17*VLOOKUP(constante!Y$1,ipc!$A:$D,4,FALSE)/1000000,"")</f>
        <v/>
      </c>
      <c r="Z15" s="8">
        <f>IFERROR('dataset- CAIF corriente'!Z17*VLOOKUP(constante!Z$1,ipc!$A:$D,4,FALSE)/1000000,"")</f>
        <v/>
      </c>
      <c r="AA15" s="8">
        <f>IFERROR('dataset- CAIF corriente'!AA17*VLOOKUP(constante!AA$1,ipc!$A:$D,4,FALSE)/1000000,"")</f>
        <v/>
      </c>
      <c r="AB15" s="8">
        <f>IFERROR('dataset- CAIF corriente'!AB17*VLOOKUP(constante!AB$1,ipc!$A:$D,4,FALSE)/1000000,"")</f>
        <v/>
      </c>
      <c r="AC15" s="8">
        <f>IFERROR('dataset- CAIF corriente'!AC17*VLOOKUP(constante!AC$1,ipc!$A:$D,4,FALSE)/1000000,"")</f>
        <v/>
      </c>
      <c r="AD15" s="8">
        <f>IFERROR('dataset- CAIF corriente'!AD17*VLOOKUP(constante!AD$1,ipc!$A:$D,4,FALSE)/1000000,"")</f>
        <v/>
      </c>
      <c r="AE15" s="8">
        <f>IFERROR('dataset- CAIF corriente'!AE17*VLOOKUP(constante!AE$1,ipc!$A:$D,4,FALSE)/1000000,"")</f>
        <v/>
      </c>
      <c r="AF15">
        <f>IFERROR('dataset- CAIF corriente'!AF17*VLOOKUP(constante!AF$1,ipc!$A:$D,4,FALSE)/1000000,"")</f>
        <v/>
      </c>
      <c r="AG15">
        <f>IFERROR('dataset- CAIF corriente'!AG17*VLOOKUP(constante!AG$1,ipc!$A:$D,4,FALSE)/1000000,"")</f>
        <v/>
      </c>
    </row>
    <row r="16">
      <c r="A16" s="9" t="inlineStr">
        <is>
          <t>Recursos propios de capital</t>
        </is>
      </c>
      <c r="B16" s="10">
        <f>IFERROR('dataset- CAIF corriente'!B18*VLOOKUP(constante!B$1,ipc!$A:$D,4,FALSE)/1000000,"")</f>
        <v/>
      </c>
      <c r="C16" s="10">
        <f>IFERROR('dataset- CAIF corriente'!C18*VLOOKUP(constante!C$1,ipc!$A:$D,4,FALSE)/1000000,"")</f>
        <v/>
      </c>
      <c r="D16" s="10">
        <f>IFERROR('dataset- CAIF corriente'!D18*VLOOKUP(constante!D$1,ipc!$A:$D,4,FALSE)/1000000,"")</f>
        <v/>
      </c>
      <c r="E16" s="10">
        <f>IFERROR('dataset- CAIF corriente'!E18*VLOOKUP(constante!E$1,ipc!$A:$D,4,FALSE)/1000000,"")</f>
        <v/>
      </c>
      <c r="F16" s="10">
        <f>IFERROR('dataset- CAIF corriente'!F18*VLOOKUP(constante!F$1,ipc!$A:$D,4,FALSE)/1000000,"")</f>
        <v/>
      </c>
      <c r="G16" s="10">
        <f>IFERROR('dataset- CAIF corriente'!G18*VLOOKUP(constante!G$1,ipc!$A:$D,4,FALSE)/1000000,"")</f>
        <v/>
      </c>
      <c r="H16" s="10">
        <f>IFERROR('dataset- CAIF corriente'!H18*VLOOKUP(constante!H$1,ipc!$A:$D,4,FALSE)/1000000,"")</f>
        <v/>
      </c>
      <c r="I16" s="10">
        <f>IFERROR('dataset- CAIF corriente'!I18*VLOOKUP(constante!I$1,ipc!$A:$D,4,FALSE)/1000000,"")</f>
        <v/>
      </c>
      <c r="J16" s="10">
        <f>IFERROR('dataset- CAIF corriente'!J18*VLOOKUP(constante!J$1,ipc!$A:$D,4,FALSE)/1000000,"")</f>
        <v/>
      </c>
      <c r="K16" s="10">
        <f>IFERROR('dataset- CAIF corriente'!K18*VLOOKUP(constante!K$1,ipc!$A:$D,4,FALSE)/1000000,"")</f>
        <v/>
      </c>
      <c r="L16" s="10">
        <f>IFERROR('dataset- CAIF corriente'!L18*VLOOKUP(constante!L$1,ipc!$A:$D,4,FALSE)/1000000,"")</f>
        <v/>
      </c>
      <c r="M16" s="10">
        <f>IFERROR('dataset- CAIF corriente'!M18*VLOOKUP(constante!M$1,ipc!$A:$D,4,FALSE)/1000000,"")</f>
        <v/>
      </c>
      <c r="N16" s="10">
        <f>IFERROR('dataset- CAIF corriente'!N18*VLOOKUP(constante!N$1,ipc!$A:$D,4,FALSE)/1000000,"")</f>
        <v/>
      </c>
      <c r="O16" s="10">
        <f>IFERROR('dataset- CAIF corriente'!O18*VLOOKUP(constante!O$1,ipc!$A:$D,4,FALSE)/1000000,"")</f>
        <v/>
      </c>
      <c r="P16" s="10">
        <f>IFERROR('dataset- CAIF corriente'!P18*VLOOKUP(constante!P$1,ipc!$A:$D,4,FALSE)/1000000,"")</f>
        <v/>
      </c>
      <c r="Q16" s="10">
        <f>IFERROR('dataset- CAIF corriente'!Q18*VLOOKUP(constante!Q$1,ipc!$A:$D,4,FALSE)/1000000,"")</f>
        <v/>
      </c>
      <c r="R16" s="10">
        <f>IFERROR('dataset- CAIF corriente'!R18*VLOOKUP(constante!R$1,ipc!$A:$D,4,FALSE)/1000000,"")</f>
        <v/>
      </c>
      <c r="S16" s="10">
        <f>IFERROR('dataset- CAIF corriente'!S18*VLOOKUP(constante!S$1,ipc!$A:$D,4,FALSE)/1000000,"")</f>
        <v/>
      </c>
      <c r="T16" s="10">
        <f>IFERROR('dataset- CAIF corriente'!T18*VLOOKUP(constante!T$1,ipc!$A:$D,4,FALSE)/1000000,"")</f>
        <v/>
      </c>
      <c r="U16" s="10">
        <f>IFERROR('dataset- CAIF corriente'!U18*VLOOKUP(constante!U$1,ipc!$A:$D,4,FALSE)/1000000,"")</f>
        <v/>
      </c>
      <c r="V16" s="10">
        <f>IFERROR('dataset- CAIF corriente'!V18*VLOOKUP(constante!V$1,ipc!$A:$D,4,FALSE)/1000000,"")</f>
        <v/>
      </c>
      <c r="W16" s="10">
        <f>IFERROR('dataset- CAIF corriente'!W18*VLOOKUP(constante!W$1,ipc!$A:$D,4,FALSE)/1000000,"")</f>
        <v/>
      </c>
      <c r="X16" s="10">
        <f>IFERROR('dataset- CAIF corriente'!X18*VLOOKUP(constante!X$1,ipc!$A:$D,4,FALSE)/1000000,"")</f>
        <v/>
      </c>
      <c r="Y16" s="10">
        <f>IFERROR('dataset- CAIF corriente'!Y18*VLOOKUP(constante!Y$1,ipc!$A:$D,4,FALSE)/1000000,"")</f>
        <v/>
      </c>
      <c r="Z16" s="10">
        <f>IFERROR('dataset- CAIF corriente'!Z18*VLOOKUP(constante!Z$1,ipc!$A:$D,4,FALSE)/1000000,"")</f>
        <v/>
      </c>
      <c r="AA16" s="10">
        <f>IFERROR('dataset- CAIF corriente'!AA18*VLOOKUP(constante!AA$1,ipc!$A:$D,4,FALSE)/1000000,"")</f>
        <v/>
      </c>
      <c r="AB16" s="10">
        <f>IFERROR('dataset- CAIF corriente'!AB18*VLOOKUP(constante!AB$1,ipc!$A:$D,4,FALSE)/1000000,"")</f>
        <v/>
      </c>
      <c r="AC16" s="10">
        <f>IFERROR('dataset- CAIF corriente'!AC18*VLOOKUP(constante!AC$1,ipc!$A:$D,4,FALSE)/1000000,"")</f>
        <v/>
      </c>
      <c r="AD16" s="10">
        <f>IFERROR('dataset- CAIF corriente'!AD18*VLOOKUP(constante!AD$1,ipc!$A:$D,4,FALSE)/1000000,"")</f>
        <v/>
      </c>
      <c r="AE16" s="10">
        <f>IFERROR('dataset- CAIF corriente'!AE18*VLOOKUP(constante!AE$1,ipc!$A:$D,4,FALSE)/1000000,"")</f>
        <v/>
      </c>
      <c r="AF16">
        <f>IFERROR('dataset- CAIF corriente'!AF18*VLOOKUP(constante!AF$1,ipc!$A:$D,4,FALSE)/1000000,"")</f>
        <v/>
      </c>
      <c r="AG16">
        <f>IFERROR('dataset- CAIF corriente'!AG18*VLOOKUP(constante!AG$1,ipc!$A:$D,4,FALSE)/1000000,"")</f>
        <v/>
      </c>
    </row>
    <row r="17">
      <c r="A17" s="9" t="inlineStr">
        <is>
          <t>Transferencias de capital</t>
        </is>
      </c>
      <c r="B17" s="10">
        <f>IFERROR('dataset- CAIF corriente'!B19*VLOOKUP(constante!B$1,ipc!$A:$D,4,FALSE)/1000000,"")</f>
        <v/>
      </c>
      <c r="C17" s="10">
        <f>IFERROR('dataset- CAIF corriente'!C19*VLOOKUP(constante!C$1,ipc!$A:$D,4,FALSE)/1000000,"")</f>
        <v/>
      </c>
      <c r="D17" s="10">
        <f>IFERROR('dataset- CAIF corriente'!D19*VLOOKUP(constante!D$1,ipc!$A:$D,4,FALSE)/1000000,"")</f>
        <v/>
      </c>
      <c r="E17" s="10">
        <f>IFERROR('dataset- CAIF corriente'!E19*VLOOKUP(constante!E$1,ipc!$A:$D,4,FALSE)/1000000,"")</f>
        <v/>
      </c>
      <c r="F17" s="10">
        <f>IFERROR('dataset- CAIF corriente'!F19*VLOOKUP(constante!F$1,ipc!$A:$D,4,FALSE)/1000000,"")</f>
        <v/>
      </c>
      <c r="G17" s="10">
        <f>IFERROR('dataset- CAIF corriente'!G19*VLOOKUP(constante!G$1,ipc!$A:$D,4,FALSE)/1000000,"")</f>
        <v/>
      </c>
      <c r="H17" s="10">
        <f>IFERROR('dataset- CAIF corriente'!H19*VLOOKUP(constante!H$1,ipc!$A:$D,4,FALSE)/1000000,"")</f>
        <v/>
      </c>
      <c r="I17" s="10">
        <f>IFERROR('dataset- CAIF corriente'!I19*VLOOKUP(constante!I$1,ipc!$A:$D,4,FALSE)/1000000,"")</f>
        <v/>
      </c>
      <c r="J17" s="10">
        <f>IFERROR('dataset- CAIF corriente'!J19*VLOOKUP(constante!J$1,ipc!$A:$D,4,FALSE)/1000000,"")</f>
        <v/>
      </c>
      <c r="K17" s="10">
        <f>IFERROR('dataset- CAIF corriente'!K19*VLOOKUP(constante!K$1,ipc!$A:$D,4,FALSE)/1000000,"")</f>
        <v/>
      </c>
      <c r="L17" s="10">
        <f>IFERROR('dataset- CAIF corriente'!L19*VLOOKUP(constante!L$1,ipc!$A:$D,4,FALSE)/1000000,"")</f>
        <v/>
      </c>
      <c r="M17" s="10">
        <f>IFERROR('dataset- CAIF corriente'!M19*VLOOKUP(constante!M$1,ipc!$A:$D,4,FALSE)/1000000,"")</f>
        <v/>
      </c>
      <c r="N17" s="10">
        <f>IFERROR('dataset- CAIF corriente'!N19*VLOOKUP(constante!N$1,ipc!$A:$D,4,FALSE)/1000000,"")</f>
        <v/>
      </c>
      <c r="O17" s="10">
        <f>IFERROR('dataset- CAIF corriente'!O19*VLOOKUP(constante!O$1,ipc!$A:$D,4,FALSE)/1000000,"")</f>
        <v/>
      </c>
      <c r="P17" s="10">
        <f>IFERROR('dataset- CAIF corriente'!P19*VLOOKUP(constante!P$1,ipc!$A:$D,4,FALSE)/1000000,"")</f>
        <v/>
      </c>
      <c r="Q17" s="10">
        <f>IFERROR('dataset- CAIF corriente'!Q19*VLOOKUP(constante!Q$1,ipc!$A:$D,4,FALSE)/1000000,"")</f>
        <v/>
      </c>
      <c r="R17" s="10">
        <f>IFERROR('dataset- CAIF corriente'!R19*VLOOKUP(constante!R$1,ipc!$A:$D,4,FALSE)/1000000,"")</f>
        <v/>
      </c>
      <c r="S17" s="10">
        <f>IFERROR('dataset- CAIF corriente'!S19*VLOOKUP(constante!S$1,ipc!$A:$D,4,FALSE)/1000000,"")</f>
        <v/>
      </c>
      <c r="T17" s="10">
        <f>IFERROR('dataset- CAIF corriente'!T19*VLOOKUP(constante!T$1,ipc!$A:$D,4,FALSE)/1000000,"")</f>
        <v/>
      </c>
      <c r="U17" s="10">
        <f>IFERROR('dataset- CAIF corriente'!U19*VLOOKUP(constante!U$1,ipc!$A:$D,4,FALSE)/1000000,"")</f>
        <v/>
      </c>
      <c r="V17" s="10">
        <f>IFERROR('dataset- CAIF corriente'!V19*VLOOKUP(constante!V$1,ipc!$A:$D,4,FALSE)/1000000,"")</f>
        <v/>
      </c>
      <c r="W17" s="10">
        <f>IFERROR('dataset- CAIF corriente'!W19*VLOOKUP(constante!W$1,ipc!$A:$D,4,FALSE)/1000000,"")</f>
        <v/>
      </c>
      <c r="X17" s="10">
        <f>IFERROR('dataset- CAIF corriente'!X19*VLOOKUP(constante!X$1,ipc!$A:$D,4,FALSE)/1000000,"")</f>
        <v/>
      </c>
      <c r="Y17" s="10">
        <f>IFERROR('dataset- CAIF corriente'!Y19*VLOOKUP(constante!Y$1,ipc!$A:$D,4,FALSE)/1000000,"")</f>
        <v/>
      </c>
      <c r="Z17" s="10">
        <f>IFERROR('dataset- CAIF corriente'!Z19*VLOOKUP(constante!Z$1,ipc!$A:$D,4,FALSE)/1000000,"")</f>
        <v/>
      </c>
      <c r="AA17" s="10">
        <f>IFERROR('dataset- CAIF corriente'!AA19*VLOOKUP(constante!AA$1,ipc!$A:$D,4,FALSE)/1000000,"")</f>
        <v/>
      </c>
      <c r="AB17" s="10">
        <f>IFERROR('dataset- CAIF corriente'!AB19*VLOOKUP(constante!AB$1,ipc!$A:$D,4,FALSE)/1000000,"")</f>
        <v/>
      </c>
      <c r="AC17" s="10">
        <f>IFERROR('dataset- CAIF corriente'!AC19*VLOOKUP(constante!AC$1,ipc!$A:$D,4,FALSE)/1000000,"")</f>
        <v/>
      </c>
      <c r="AD17" s="10">
        <f>IFERROR('dataset- CAIF corriente'!AD19*VLOOKUP(constante!AD$1,ipc!$A:$D,4,FALSE)/1000000,"")</f>
        <v/>
      </c>
      <c r="AE17" s="10">
        <f>IFERROR('dataset- CAIF corriente'!AE19*VLOOKUP(constante!AE$1,ipc!$A:$D,4,FALSE)/1000000,"")</f>
        <v/>
      </c>
      <c r="AF17">
        <f>IFERROR('dataset- CAIF corriente'!AF19*VLOOKUP(constante!AF$1,ipc!$A:$D,4,FALSE)/1000000,"")</f>
        <v/>
      </c>
      <c r="AG17">
        <f>IFERROR('dataset- CAIF corriente'!AG19*VLOOKUP(constante!AG$1,ipc!$A:$D,4,FALSE)/1000000,"")</f>
        <v/>
      </c>
    </row>
    <row r="18">
      <c r="A18" s="9" t="inlineStr">
        <is>
          <t xml:space="preserve">Disminución de la inversión financiera </t>
        </is>
      </c>
      <c r="B18" s="10">
        <f>IFERROR('dataset- CAIF corriente'!B20*VLOOKUP(constante!B$1,ipc!$A:$D,4,FALSE)/1000000,"")</f>
        <v/>
      </c>
      <c r="C18" s="10">
        <f>IFERROR('dataset- CAIF corriente'!C20*VLOOKUP(constante!C$1,ipc!$A:$D,4,FALSE)/1000000,"")</f>
        <v/>
      </c>
      <c r="D18" s="10">
        <f>IFERROR('dataset- CAIF corriente'!D20*VLOOKUP(constante!D$1,ipc!$A:$D,4,FALSE)/1000000,"")</f>
        <v/>
      </c>
      <c r="E18" s="10">
        <f>IFERROR('dataset- CAIF corriente'!E20*VLOOKUP(constante!E$1,ipc!$A:$D,4,FALSE)/1000000,"")</f>
        <v/>
      </c>
      <c r="F18" s="10">
        <f>IFERROR('dataset- CAIF corriente'!F20*VLOOKUP(constante!F$1,ipc!$A:$D,4,FALSE)/1000000,"")</f>
        <v/>
      </c>
      <c r="G18" s="10">
        <f>IFERROR('dataset- CAIF corriente'!G20*VLOOKUP(constante!G$1,ipc!$A:$D,4,FALSE)/1000000,"")</f>
        <v/>
      </c>
      <c r="H18" s="10">
        <f>IFERROR('dataset- CAIF corriente'!H20*VLOOKUP(constante!H$1,ipc!$A:$D,4,FALSE)/1000000,"")</f>
        <v/>
      </c>
      <c r="I18" s="10">
        <f>IFERROR('dataset- CAIF corriente'!I20*VLOOKUP(constante!I$1,ipc!$A:$D,4,FALSE)/1000000,"")</f>
        <v/>
      </c>
      <c r="J18" s="10">
        <f>IFERROR('dataset- CAIF corriente'!J20*VLOOKUP(constante!J$1,ipc!$A:$D,4,FALSE)/1000000,"")</f>
        <v/>
      </c>
      <c r="K18" s="10">
        <f>IFERROR('dataset- CAIF corriente'!K20*VLOOKUP(constante!K$1,ipc!$A:$D,4,FALSE)/1000000,"")</f>
        <v/>
      </c>
      <c r="L18" s="10">
        <f>IFERROR('dataset- CAIF corriente'!L20*VLOOKUP(constante!L$1,ipc!$A:$D,4,FALSE)/1000000,"")</f>
        <v/>
      </c>
      <c r="M18" s="10">
        <f>IFERROR('dataset- CAIF corriente'!M20*VLOOKUP(constante!M$1,ipc!$A:$D,4,FALSE)/1000000,"")</f>
        <v/>
      </c>
      <c r="N18" s="10">
        <f>IFERROR('dataset- CAIF corriente'!N20*VLOOKUP(constante!N$1,ipc!$A:$D,4,FALSE)/1000000,"")</f>
        <v/>
      </c>
      <c r="O18" s="10">
        <f>IFERROR('dataset- CAIF corriente'!O20*VLOOKUP(constante!O$1,ipc!$A:$D,4,FALSE)/1000000,"")</f>
        <v/>
      </c>
      <c r="P18" s="10">
        <f>IFERROR('dataset- CAIF corriente'!P20*VLOOKUP(constante!P$1,ipc!$A:$D,4,FALSE)/1000000,"")</f>
        <v/>
      </c>
      <c r="Q18" s="10">
        <f>IFERROR('dataset- CAIF corriente'!Q20*VLOOKUP(constante!Q$1,ipc!$A:$D,4,FALSE)/1000000,"")</f>
        <v/>
      </c>
      <c r="R18" s="10">
        <f>IFERROR('dataset- CAIF corriente'!R20*VLOOKUP(constante!R$1,ipc!$A:$D,4,FALSE)/1000000,"")</f>
        <v/>
      </c>
      <c r="S18" s="10">
        <f>IFERROR('dataset- CAIF corriente'!S20*VLOOKUP(constante!S$1,ipc!$A:$D,4,FALSE)/1000000,"")</f>
        <v/>
      </c>
      <c r="T18" s="10">
        <f>IFERROR('dataset- CAIF corriente'!T20*VLOOKUP(constante!T$1,ipc!$A:$D,4,FALSE)/1000000,"")</f>
        <v/>
      </c>
      <c r="U18" s="10">
        <f>IFERROR('dataset- CAIF corriente'!U20*VLOOKUP(constante!U$1,ipc!$A:$D,4,FALSE)/1000000,"")</f>
        <v/>
      </c>
      <c r="V18" s="10">
        <f>IFERROR('dataset- CAIF corriente'!V20*VLOOKUP(constante!V$1,ipc!$A:$D,4,FALSE)/1000000,"")</f>
        <v/>
      </c>
      <c r="W18" s="10">
        <f>IFERROR('dataset- CAIF corriente'!W20*VLOOKUP(constante!W$1,ipc!$A:$D,4,FALSE)/1000000,"")</f>
        <v/>
      </c>
      <c r="X18" s="10">
        <f>IFERROR('dataset- CAIF corriente'!X20*VLOOKUP(constante!X$1,ipc!$A:$D,4,FALSE)/1000000,"")</f>
        <v/>
      </c>
      <c r="Y18" s="10">
        <f>IFERROR('dataset- CAIF corriente'!Y20*VLOOKUP(constante!Y$1,ipc!$A:$D,4,FALSE)/1000000,"")</f>
        <v/>
      </c>
      <c r="Z18" s="10">
        <f>IFERROR('dataset- CAIF corriente'!Z20*VLOOKUP(constante!Z$1,ipc!$A:$D,4,FALSE)/1000000,"")</f>
        <v/>
      </c>
      <c r="AA18" s="10">
        <f>IFERROR('dataset- CAIF corriente'!AA20*VLOOKUP(constante!AA$1,ipc!$A:$D,4,FALSE)/1000000,"")</f>
        <v/>
      </c>
      <c r="AB18" s="10">
        <f>IFERROR('dataset- CAIF corriente'!AB20*VLOOKUP(constante!AB$1,ipc!$A:$D,4,FALSE)/1000000,"")</f>
        <v/>
      </c>
      <c r="AC18" s="10">
        <f>IFERROR('dataset- CAIF corriente'!AC20*VLOOKUP(constante!AC$1,ipc!$A:$D,4,FALSE)/1000000,"")</f>
        <v/>
      </c>
      <c r="AD18" s="10">
        <f>IFERROR('dataset- CAIF corriente'!AD20*VLOOKUP(constante!AD$1,ipc!$A:$D,4,FALSE)/1000000,"")</f>
        <v/>
      </c>
      <c r="AE18" s="10">
        <f>IFERROR('dataset- CAIF corriente'!AE20*VLOOKUP(constante!AE$1,ipc!$A:$D,4,FALSE)/1000000,"")</f>
        <v/>
      </c>
      <c r="AF18">
        <f>IFERROR('dataset- CAIF corriente'!AF20*VLOOKUP(constante!AF$1,ipc!$A:$D,4,FALSE)/1000000,"")</f>
        <v/>
      </c>
      <c r="AG18">
        <f>IFERROR('dataset- CAIF corriente'!AG20*VLOOKUP(constante!AG$1,ipc!$A:$D,4,FALSE)/1000000,"")</f>
        <v/>
      </c>
    </row>
    <row r="19">
      <c r="A19" s="7" t="inlineStr">
        <is>
          <t>5) Gastos de capital</t>
        </is>
      </c>
      <c r="B19" s="8">
        <f>IFERROR('dataset- CAIF corriente'!B21*VLOOKUP(constante!B$1,ipc!$A:$D,4,FALSE)/1000000,"")</f>
        <v/>
      </c>
      <c r="C19" s="8">
        <f>IFERROR('dataset- CAIF corriente'!C21*VLOOKUP(constante!C$1,ipc!$A:$D,4,FALSE)/1000000,"")</f>
        <v/>
      </c>
      <c r="D19" s="8">
        <f>IFERROR('dataset- CAIF corriente'!D21*VLOOKUP(constante!D$1,ipc!$A:$D,4,FALSE)/1000000,"")</f>
        <v/>
      </c>
      <c r="E19" s="8">
        <f>IFERROR('dataset- CAIF corriente'!E21*VLOOKUP(constante!E$1,ipc!$A:$D,4,FALSE)/1000000,"")</f>
        <v/>
      </c>
      <c r="F19" s="8">
        <f>IFERROR('dataset- CAIF corriente'!F21*VLOOKUP(constante!F$1,ipc!$A:$D,4,FALSE)/1000000,"")</f>
        <v/>
      </c>
      <c r="G19" s="8">
        <f>IFERROR('dataset- CAIF corriente'!G21*VLOOKUP(constante!G$1,ipc!$A:$D,4,FALSE)/1000000,"")</f>
        <v/>
      </c>
      <c r="H19" s="8">
        <f>IFERROR('dataset- CAIF corriente'!H21*VLOOKUP(constante!H$1,ipc!$A:$D,4,FALSE)/1000000,"")</f>
        <v/>
      </c>
      <c r="I19" s="8">
        <f>IFERROR('dataset- CAIF corriente'!I21*VLOOKUP(constante!I$1,ipc!$A:$D,4,FALSE)/1000000,"")</f>
        <v/>
      </c>
      <c r="J19" s="8">
        <f>IFERROR('dataset- CAIF corriente'!J21*VLOOKUP(constante!J$1,ipc!$A:$D,4,FALSE)/1000000,"")</f>
        <v/>
      </c>
      <c r="K19" s="8">
        <f>IFERROR('dataset- CAIF corriente'!K21*VLOOKUP(constante!K$1,ipc!$A:$D,4,FALSE)/1000000,"")</f>
        <v/>
      </c>
      <c r="L19" s="8">
        <f>IFERROR('dataset- CAIF corriente'!L21*VLOOKUP(constante!L$1,ipc!$A:$D,4,FALSE)/1000000,"")</f>
        <v/>
      </c>
      <c r="M19" s="8">
        <f>IFERROR('dataset- CAIF corriente'!M21*VLOOKUP(constante!M$1,ipc!$A:$D,4,FALSE)/1000000,"")</f>
        <v/>
      </c>
      <c r="N19" s="8">
        <f>IFERROR('dataset- CAIF corriente'!N21*VLOOKUP(constante!N$1,ipc!$A:$D,4,FALSE)/1000000,"")</f>
        <v/>
      </c>
      <c r="O19" s="8">
        <f>IFERROR('dataset- CAIF corriente'!O21*VLOOKUP(constante!O$1,ipc!$A:$D,4,FALSE)/1000000,"")</f>
        <v/>
      </c>
      <c r="P19" s="8">
        <f>IFERROR('dataset- CAIF corriente'!P21*VLOOKUP(constante!P$1,ipc!$A:$D,4,FALSE)/1000000,"")</f>
        <v/>
      </c>
      <c r="Q19" s="8">
        <f>IFERROR('dataset- CAIF corriente'!Q21*VLOOKUP(constante!Q$1,ipc!$A:$D,4,FALSE)/1000000,"")</f>
        <v/>
      </c>
      <c r="R19" s="8">
        <f>IFERROR('dataset- CAIF corriente'!R21*VLOOKUP(constante!R$1,ipc!$A:$D,4,FALSE)/1000000,"")</f>
        <v/>
      </c>
      <c r="S19" s="8">
        <f>IFERROR('dataset- CAIF corriente'!S21*VLOOKUP(constante!S$1,ipc!$A:$D,4,FALSE)/1000000,"")</f>
        <v/>
      </c>
      <c r="T19" s="8">
        <f>IFERROR('dataset- CAIF corriente'!T21*VLOOKUP(constante!T$1,ipc!$A:$D,4,FALSE)/1000000,"")</f>
        <v/>
      </c>
      <c r="U19" s="8">
        <f>IFERROR('dataset- CAIF corriente'!U21*VLOOKUP(constante!U$1,ipc!$A:$D,4,FALSE)/1000000,"")</f>
        <v/>
      </c>
      <c r="V19" s="8">
        <f>IFERROR('dataset- CAIF corriente'!V21*VLOOKUP(constante!V$1,ipc!$A:$D,4,FALSE)/1000000,"")</f>
        <v/>
      </c>
      <c r="W19" s="8">
        <f>IFERROR('dataset- CAIF corriente'!W21*VLOOKUP(constante!W$1,ipc!$A:$D,4,FALSE)/1000000,"")</f>
        <v/>
      </c>
      <c r="X19" s="8">
        <f>IFERROR('dataset- CAIF corriente'!X21*VLOOKUP(constante!X$1,ipc!$A:$D,4,FALSE)/1000000,"")</f>
        <v/>
      </c>
      <c r="Y19" s="8">
        <f>IFERROR('dataset- CAIF corriente'!Y21*VLOOKUP(constante!Y$1,ipc!$A:$D,4,FALSE)/1000000,"")</f>
        <v/>
      </c>
      <c r="Z19" s="8">
        <f>IFERROR('dataset- CAIF corriente'!Z21*VLOOKUP(constante!Z$1,ipc!$A:$D,4,FALSE)/1000000,"")</f>
        <v/>
      </c>
      <c r="AA19" s="8">
        <f>IFERROR('dataset- CAIF corriente'!AA21*VLOOKUP(constante!AA$1,ipc!$A:$D,4,FALSE)/1000000,"")</f>
        <v/>
      </c>
      <c r="AB19" s="8">
        <f>IFERROR('dataset- CAIF corriente'!AB21*VLOOKUP(constante!AB$1,ipc!$A:$D,4,FALSE)/1000000,"")</f>
        <v/>
      </c>
      <c r="AC19" s="8">
        <f>IFERROR('dataset- CAIF corriente'!AC21*VLOOKUP(constante!AC$1,ipc!$A:$D,4,FALSE)/1000000,"")</f>
        <v/>
      </c>
      <c r="AD19" s="8">
        <f>IFERROR('dataset- CAIF corriente'!AD21*VLOOKUP(constante!AD$1,ipc!$A:$D,4,FALSE)/1000000,"")</f>
        <v/>
      </c>
      <c r="AE19" s="8">
        <f>IFERROR('dataset- CAIF corriente'!AE21*VLOOKUP(constante!AE$1,ipc!$A:$D,4,FALSE)/1000000,"")</f>
        <v/>
      </c>
      <c r="AF19">
        <f>IFERROR('dataset- CAIF corriente'!AF21*VLOOKUP(constante!AF$1,ipc!$A:$D,4,FALSE)/1000000,"")</f>
        <v/>
      </c>
      <c r="AG19">
        <f>IFERROR('dataset- CAIF corriente'!AG21*VLOOKUP(constante!AG$1,ipc!$A:$D,4,FALSE)/1000000,"")</f>
        <v/>
      </c>
    </row>
    <row r="20">
      <c r="A20" s="9" t="inlineStr">
        <is>
          <t>Inversión real directa</t>
        </is>
      </c>
      <c r="B20" s="10">
        <f>IFERROR('dataset- CAIF corriente'!B22*VLOOKUP(constante!B$1,ipc!$A:$D,4,FALSE)/1000000,"")</f>
        <v/>
      </c>
      <c r="C20" s="10">
        <f>IFERROR('dataset- CAIF corriente'!C22*VLOOKUP(constante!C$1,ipc!$A:$D,4,FALSE)/1000000,"")</f>
        <v/>
      </c>
      <c r="D20" s="10">
        <f>IFERROR('dataset- CAIF corriente'!D22*VLOOKUP(constante!D$1,ipc!$A:$D,4,FALSE)/1000000,"")</f>
        <v/>
      </c>
      <c r="E20" s="10">
        <f>IFERROR('dataset- CAIF corriente'!E22*VLOOKUP(constante!E$1,ipc!$A:$D,4,FALSE)/1000000,"")</f>
        <v/>
      </c>
      <c r="F20" s="10">
        <f>IFERROR('dataset- CAIF corriente'!F22*VLOOKUP(constante!F$1,ipc!$A:$D,4,FALSE)/1000000,"")</f>
        <v/>
      </c>
      <c r="G20" s="10">
        <f>IFERROR('dataset- CAIF corriente'!G22*VLOOKUP(constante!G$1,ipc!$A:$D,4,FALSE)/1000000,"")</f>
        <v/>
      </c>
      <c r="H20" s="10">
        <f>IFERROR('dataset- CAIF corriente'!H22*VLOOKUP(constante!H$1,ipc!$A:$D,4,FALSE)/1000000,"")</f>
        <v/>
      </c>
      <c r="I20" s="10">
        <f>IFERROR('dataset- CAIF corriente'!I22*VLOOKUP(constante!I$1,ipc!$A:$D,4,FALSE)/1000000,"")</f>
        <v/>
      </c>
      <c r="J20" s="10">
        <f>IFERROR('dataset- CAIF corriente'!J22*VLOOKUP(constante!J$1,ipc!$A:$D,4,FALSE)/1000000,"")</f>
        <v/>
      </c>
      <c r="K20" s="10">
        <f>IFERROR('dataset- CAIF corriente'!K22*VLOOKUP(constante!K$1,ipc!$A:$D,4,FALSE)/1000000,"")</f>
        <v/>
      </c>
      <c r="L20" s="10">
        <f>IFERROR('dataset- CAIF corriente'!L22*VLOOKUP(constante!L$1,ipc!$A:$D,4,FALSE)/1000000,"")</f>
        <v/>
      </c>
      <c r="M20" s="10">
        <f>IFERROR('dataset- CAIF corriente'!M22*VLOOKUP(constante!M$1,ipc!$A:$D,4,FALSE)/1000000,"")</f>
        <v/>
      </c>
      <c r="N20" s="10">
        <f>IFERROR('dataset- CAIF corriente'!N22*VLOOKUP(constante!N$1,ipc!$A:$D,4,FALSE)/1000000,"")</f>
        <v/>
      </c>
      <c r="O20" s="10">
        <f>IFERROR('dataset- CAIF corriente'!O22*VLOOKUP(constante!O$1,ipc!$A:$D,4,FALSE)/1000000,"")</f>
        <v/>
      </c>
      <c r="P20" s="10">
        <f>IFERROR('dataset- CAIF corriente'!P22*VLOOKUP(constante!P$1,ipc!$A:$D,4,FALSE)/1000000,"")</f>
        <v/>
      </c>
      <c r="Q20" s="10">
        <f>IFERROR('dataset- CAIF corriente'!Q22*VLOOKUP(constante!Q$1,ipc!$A:$D,4,FALSE)/1000000,"")</f>
        <v/>
      </c>
      <c r="R20" s="10">
        <f>IFERROR('dataset- CAIF corriente'!R22*VLOOKUP(constante!R$1,ipc!$A:$D,4,FALSE)/1000000,"")</f>
        <v/>
      </c>
      <c r="S20" s="10">
        <f>IFERROR('dataset- CAIF corriente'!S22*VLOOKUP(constante!S$1,ipc!$A:$D,4,FALSE)/1000000,"")</f>
        <v/>
      </c>
      <c r="T20" s="10">
        <f>IFERROR('dataset- CAIF corriente'!T22*VLOOKUP(constante!T$1,ipc!$A:$D,4,FALSE)/1000000,"")</f>
        <v/>
      </c>
      <c r="U20" s="10">
        <f>IFERROR('dataset- CAIF corriente'!U22*VLOOKUP(constante!U$1,ipc!$A:$D,4,FALSE)/1000000,"")</f>
        <v/>
      </c>
      <c r="V20" s="10">
        <f>IFERROR('dataset- CAIF corriente'!V22*VLOOKUP(constante!V$1,ipc!$A:$D,4,FALSE)/1000000,"")</f>
        <v/>
      </c>
      <c r="W20" s="10">
        <f>IFERROR('dataset- CAIF corriente'!W22*VLOOKUP(constante!W$1,ipc!$A:$D,4,FALSE)/1000000,"")</f>
        <v/>
      </c>
      <c r="X20" s="10">
        <f>IFERROR('dataset- CAIF corriente'!X22*VLOOKUP(constante!X$1,ipc!$A:$D,4,FALSE)/1000000,"")</f>
        <v/>
      </c>
      <c r="Y20" s="10">
        <f>IFERROR('dataset- CAIF corriente'!Y22*VLOOKUP(constante!Y$1,ipc!$A:$D,4,FALSE)/1000000,"")</f>
        <v/>
      </c>
      <c r="Z20" s="10">
        <f>IFERROR('dataset- CAIF corriente'!Z22*VLOOKUP(constante!Z$1,ipc!$A:$D,4,FALSE)/1000000,"")</f>
        <v/>
      </c>
      <c r="AA20" s="10">
        <f>IFERROR('dataset- CAIF corriente'!AA22*VLOOKUP(constante!AA$1,ipc!$A:$D,4,FALSE)/1000000,"")</f>
        <v/>
      </c>
      <c r="AB20" s="10">
        <f>IFERROR('dataset- CAIF corriente'!AB22*VLOOKUP(constante!AB$1,ipc!$A:$D,4,FALSE)/1000000,"")</f>
        <v/>
      </c>
      <c r="AC20" s="10">
        <f>IFERROR('dataset- CAIF corriente'!AC22*VLOOKUP(constante!AC$1,ipc!$A:$D,4,FALSE)/1000000,"")</f>
        <v/>
      </c>
      <c r="AD20" s="10">
        <f>IFERROR('dataset- CAIF corriente'!AD22*VLOOKUP(constante!AD$1,ipc!$A:$D,4,FALSE)/1000000,"")</f>
        <v/>
      </c>
      <c r="AE20" s="10">
        <f>IFERROR('dataset- CAIF corriente'!AE22*VLOOKUP(constante!AE$1,ipc!$A:$D,4,FALSE)/1000000,"")</f>
        <v/>
      </c>
      <c r="AF20">
        <f>IFERROR('dataset- CAIF corriente'!AF22*VLOOKUP(constante!AF$1,ipc!$A:$D,4,FALSE)/1000000,"")</f>
        <v/>
      </c>
      <c r="AG20">
        <f>IFERROR('dataset- CAIF corriente'!AG22*VLOOKUP(constante!AG$1,ipc!$A:$D,4,FALSE)/1000000,"")</f>
        <v/>
      </c>
    </row>
    <row r="21">
      <c r="A21" s="9" t="inlineStr">
        <is>
          <t>Transferencias de capital</t>
        </is>
      </c>
      <c r="B21" s="10">
        <f>IFERROR('dataset- CAIF corriente'!B23*VLOOKUP(constante!B$1,ipc!$A:$D,4,FALSE)/1000000,"")</f>
        <v/>
      </c>
      <c r="C21" s="10">
        <f>IFERROR('dataset- CAIF corriente'!C23*VLOOKUP(constante!C$1,ipc!$A:$D,4,FALSE)/1000000,"")</f>
        <v/>
      </c>
      <c r="D21" s="10">
        <f>IFERROR('dataset- CAIF corriente'!D23*VLOOKUP(constante!D$1,ipc!$A:$D,4,FALSE)/1000000,"")</f>
        <v/>
      </c>
      <c r="E21" s="10">
        <f>IFERROR('dataset- CAIF corriente'!E23*VLOOKUP(constante!E$1,ipc!$A:$D,4,FALSE)/1000000,"")</f>
        <v/>
      </c>
      <c r="F21" s="10">
        <f>IFERROR('dataset- CAIF corriente'!F23*VLOOKUP(constante!F$1,ipc!$A:$D,4,FALSE)/1000000,"")</f>
        <v/>
      </c>
      <c r="G21" s="10">
        <f>IFERROR('dataset- CAIF corriente'!G23*VLOOKUP(constante!G$1,ipc!$A:$D,4,FALSE)/1000000,"")</f>
        <v/>
      </c>
      <c r="H21" s="10">
        <f>IFERROR('dataset- CAIF corriente'!H23*VLOOKUP(constante!H$1,ipc!$A:$D,4,FALSE)/1000000,"")</f>
        <v/>
      </c>
      <c r="I21" s="10">
        <f>IFERROR('dataset- CAIF corriente'!I23*VLOOKUP(constante!I$1,ipc!$A:$D,4,FALSE)/1000000,"")</f>
        <v/>
      </c>
      <c r="J21" s="10">
        <f>IFERROR('dataset- CAIF corriente'!J23*VLOOKUP(constante!J$1,ipc!$A:$D,4,FALSE)/1000000,"")</f>
        <v/>
      </c>
      <c r="K21" s="10">
        <f>IFERROR('dataset- CAIF corriente'!K23*VLOOKUP(constante!K$1,ipc!$A:$D,4,FALSE)/1000000,"")</f>
        <v/>
      </c>
      <c r="L21" s="10">
        <f>IFERROR('dataset- CAIF corriente'!L23*VLOOKUP(constante!L$1,ipc!$A:$D,4,FALSE)/1000000,"")</f>
        <v/>
      </c>
      <c r="M21" s="10">
        <f>IFERROR('dataset- CAIF corriente'!M23*VLOOKUP(constante!M$1,ipc!$A:$D,4,FALSE)/1000000,"")</f>
        <v/>
      </c>
      <c r="N21" s="10">
        <f>IFERROR('dataset- CAIF corriente'!N23*VLOOKUP(constante!N$1,ipc!$A:$D,4,FALSE)/1000000,"")</f>
        <v/>
      </c>
      <c r="O21" s="10">
        <f>IFERROR('dataset- CAIF corriente'!O23*VLOOKUP(constante!O$1,ipc!$A:$D,4,FALSE)/1000000,"")</f>
        <v/>
      </c>
      <c r="P21" s="10">
        <f>IFERROR('dataset- CAIF corriente'!P23*VLOOKUP(constante!P$1,ipc!$A:$D,4,FALSE)/1000000,"")</f>
        <v/>
      </c>
      <c r="Q21" s="10">
        <f>IFERROR('dataset- CAIF corriente'!Q23*VLOOKUP(constante!Q$1,ipc!$A:$D,4,FALSE)/1000000,"")</f>
        <v/>
      </c>
      <c r="R21" s="10">
        <f>IFERROR('dataset- CAIF corriente'!R23*VLOOKUP(constante!R$1,ipc!$A:$D,4,FALSE)/1000000,"")</f>
        <v/>
      </c>
      <c r="S21" s="10">
        <f>IFERROR('dataset- CAIF corriente'!S23*VLOOKUP(constante!S$1,ipc!$A:$D,4,FALSE)/1000000,"")</f>
        <v/>
      </c>
      <c r="T21" s="10">
        <f>IFERROR('dataset- CAIF corriente'!T23*VLOOKUP(constante!T$1,ipc!$A:$D,4,FALSE)/1000000,"")</f>
        <v/>
      </c>
      <c r="U21" s="10">
        <f>IFERROR('dataset- CAIF corriente'!U23*VLOOKUP(constante!U$1,ipc!$A:$D,4,FALSE)/1000000,"")</f>
        <v/>
      </c>
      <c r="V21" s="10">
        <f>IFERROR('dataset- CAIF corriente'!V23*VLOOKUP(constante!V$1,ipc!$A:$D,4,FALSE)/1000000,"")</f>
        <v/>
      </c>
      <c r="W21" s="10">
        <f>IFERROR('dataset- CAIF corriente'!W23*VLOOKUP(constante!W$1,ipc!$A:$D,4,FALSE)/1000000,"")</f>
        <v/>
      </c>
      <c r="X21" s="10">
        <f>IFERROR('dataset- CAIF corriente'!X23*VLOOKUP(constante!X$1,ipc!$A:$D,4,FALSE)/1000000,"")</f>
        <v/>
      </c>
      <c r="Y21" s="10">
        <f>IFERROR('dataset- CAIF corriente'!Y23*VLOOKUP(constante!Y$1,ipc!$A:$D,4,FALSE)/1000000,"")</f>
        <v/>
      </c>
      <c r="Z21" s="10">
        <f>IFERROR('dataset- CAIF corriente'!Z23*VLOOKUP(constante!Z$1,ipc!$A:$D,4,FALSE)/1000000,"")</f>
        <v/>
      </c>
      <c r="AA21" s="10">
        <f>IFERROR('dataset- CAIF corriente'!AA23*VLOOKUP(constante!AA$1,ipc!$A:$D,4,FALSE)/1000000,"")</f>
        <v/>
      </c>
      <c r="AB21" s="10">
        <f>IFERROR('dataset- CAIF corriente'!AB23*VLOOKUP(constante!AB$1,ipc!$A:$D,4,FALSE)/1000000,"")</f>
        <v/>
      </c>
      <c r="AC21" s="10">
        <f>IFERROR('dataset- CAIF corriente'!AC23*VLOOKUP(constante!AC$1,ipc!$A:$D,4,FALSE)/1000000,"")</f>
        <v/>
      </c>
      <c r="AD21" s="10">
        <f>IFERROR('dataset- CAIF corriente'!AD23*VLOOKUP(constante!AD$1,ipc!$A:$D,4,FALSE)/1000000,"")</f>
        <v/>
      </c>
      <c r="AE21" s="10">
        <f>IFERROR('dataset- CAIF corriente'!AE23*VLOOKUP(constante!AE$1,ipc!$A:$D,4,FALSE)/1000000,"")</f>
        <v/>
      </c>
      <c r="AF21">
        <f>IFERROR('dataset- CAIF corriente'!AF23*VLOOKUP(constante!AF$1,ipc!$A:$D,4,FALSE)/1000000,"")</f>
        <v/>
      </c>
      <c r="AG21">
        <f>IFERROR('dataset- CAIF corriente'!AG23*VLOOKUP(constante!AG$1,ipc!$A:$D,4,FALSE)/1000000,"")</f>
        <v/>
      </c>
    </row>
    <row r="22">
      <c r="A22" s="9" t="inlineStr">
        <is>
          <t>Inversión financiera</t>
        </is>
      </c>
      <c r="B22" s="10">
        <f>IFERROR('dataset- CAIF corriente'!B24*VLOOKUP(constante!B$1,ipc!$A:$D,4,FALSE)/1000000,"")</f>
        <v/>
      </c>
      <c r="C22" s="10">
        <f>IFERROR('dataset- CAIF corriente'!C24*VLOOKUP(constante!C$1,ipc!$A:$D,4,FALSE)/1000000,"")</f>
        <v/>
      </c>
      <c r="D22" s="10">
        <f>IFERROR('dataset- CAIF corriente'!D24*VLOOKUP(constante!D$1,ipc!$A:$D,4,FALSE)/1000000,"")</f>
        <v/>
      </c>
      <c r="E22" s="10">
        <f>IFERROR('dataset- CAIF corriente'!E24*VLOOKUP(constante!E$1,ipc!$A:$D,4,FALSE)/1000000,"")</f>
        <v/>
      </c>
      <c r="F22" s="10">
        <f>IFERROR('dataset- CAIF corriente'!F24*VLOOKUP(constante!F$1,ipc!$A:$D,4,FALSE)/1000000,"")</f>
        <v/>
      </c>
      <c r="G22" s="10">
        <f>IFERROR('dataset- CAIF corriente'!G24*VLOOKUP(constante!G$1,ipc!$A:$D,4,FALSE)/1000000,"")</f>
        <v/>
      </c>
      <c r="H22" s="10">
        <f>IFERROR('dataset- CAIF corriente'!H24*VLOOKUP(constante!H$1,ipc!$A:$D,4,FALSE)/1000000,"")</f>
        <v/>
      </c>
      <c r="I22" s="10">
        <f>IFERROR('dataset- CAIF corriente'!I24*VLOOKUP(constante!I$1,ipc!$A:$D,4,FALSE)/1000000,"")</f>
        <v/>
      </c>
      <c r="J22" s="10">
        <f>IFERROR('dataset- CAIF corriente'!J24*VLOOKUP(constante!J$1,ipc!$A:$D,4,FALSE)/1000000,"")</f>
        <v/>
      </c>
      <c r="K22" s="10">
        <f>IFERROR('dataset- CAIF corriente'!K24*VLOOKUP(constante!K$1,ipc!$A:$D,4,FALSE)/1000000,"")</f>
        <v/>
      </c>
      <c r="L22" s="10">
        <f>IFERROR('dataset- CAIF corriente'!L24*VLOOKUP(constante!L$1,ipc!$A:$D,4,FALSE)/1000000,"")</f>
        <v/>
      </c>
      <c r="M22" s="10">
        <f>IFERROR('dataset- CAIF corriente'!M24*VLOOKUP(constante!M$1,ipc!$A:$D,4,FALSE)/1000000,"")</f>
        <v/>
      </c>
      <c r="N22" s="10">
        <f>IFERROR('dataset- CAIF corriente'!N24*VLOOKUP(constante!N$1,ipc!$A:$D,4,FALSE)/1000000,"")</f>
        <v/>
      </c>
      <c r="O22" s="10">
        <f>IFERROR('dataset- CAIF corriente'!O24*VLOOKUP(constante!O$1,ipc!$A:$D,4,FALSE)/1000000,"")</f>
        <v/>
      </c>
      <c r="P22" s="10">
        <f>IFERROR('dataset- CAIF corriente'!P24*VLOOKUP(constante!P$1,ipc!$A:$D,4,FALSE)/1000000,"")</f>
        <v/>
      </c>
      <c r="Q22" s="10">
        <f>IFERROR('dataset- CAIF corriente'!Q24*VLOOKUP(constante!Q$1,ipc!$A:$D,4,FALSE)/1000000,"")</f>
        <v/>
      </c>
      <c r="R22" s="10">
        <f>IFERROR('dataset- CAIF corriente'!R24*VLOOKUP(constante!R$1,ipc!$A:$D,4,FALSE)/1000000,"")</f>
        <v/>
      </c>
      <c r="S22" s="10">
        <f>IFERROR('dataset- CAIF corriente'!S24*VLOOKUP(constante!S$1,ipc!$A:$D,4,FALSE)/1000000,"")</f>
        <v/>
      </c>
      <c r="T22" s="10">
        <f>IFERROR('dataset- CAIF corriente'!T24*VLOOKUP(constante!T$1,ipc!$A:$D,4,FALSE)/1000000,"")</f>
        <v/>
      </c>
      <c r="U22" s="10">
        <f>IFERROR('dataset- CAIF corriente'!U24*VLOOKUP(constante!U$1,ipc!$A:$D,4,FALSE)/1000000,"")</f>
        <v/>
      </c>
      <c r="V22" s="10">
        <f>IFERROR('dataset- CAIF corriente'!V24*VLOOKUP(constante!V$1,ipc!$A:$D,4,FALSE)/1000000,"")</f>
        <v/>
      </c>
      <c r="W22" s="10">
        <f>IFERROR('dataset- CAIF corriente'!W24*VLOOKUP(constante!W$1,ipc!$A:$D,4,FALSE)/1000000,"")</f>
        <v/>
      </c>
      <c r="X22" s="10">
        <f>IFERROR('dataset- CAIF corriente'!X24*VLOOKUP(constante!X$1,ipc!$A:$D,4,FALSE)/1000000,"")</f>
        <v/>
      </c>
      <c r="Y22" s="10">
        <f>IFERROR('dataset- CAIF corriente'!Y24*VLOOKUP(constante!Y$1,ipc!$A:$D,4,FALSE)/1000000,"")</f>
        <v/>
      </c>
      <c r="Z22" s="10">
        <f>IFERROR('dataset- CAIF corriente'!Z24*VLOOKUP(constante!Z$1,ipc!$A:$D,4,FALSE)/1000000,"")</f>
        <v/>
      </c>
      <c r="AA22" s="10">
        <f>IFERROR('dataset- CAIF corriente'!AA24*VLOOKUP(constante!AA$1,ipc!$A:$D,4,FALSE)/1000000,"")</f>
        <v/>
      </c>
      <c r="AB22" s="10">
        <f>IFERROR('dataset- CAIF corriente'!AB24*VLOOKUP(constante!AB$1,ipc!$A:$D,4,FALSE)/1000000,"")</f>
        <v/>
      </c>
      <c r="AC22" s="10">
        <f>IFERROR('dataset- CAIF corriente'!AC24*VLOOKUP(constante!AC$1,ipc!$A:$D,4,FALSE)/1000000,"")</f>
        <v/>
      </c>
      <c r="AD22" s="10">
        <f>IFERROR('dataset- CAIF corriente'!AD24*VLOOKUP(constante!AD$1,ipc!$A:$D,4,FALSE)/1000000,"")</f>
        <v/>
      </c>
      <c r="AE22" s="10">
        <f>IFERROR('dataset- CAIF corriente'!AE24*VLOOKUP(constante!AE$1,ipc!$A:$D,4,FALSE)/1000000,"")</f>
        <v/>
      </c>
      <c r="AF22">
        <f>IFERROR('dataset- CAIF corriente'!AF24*VLOOKUP(constante!AF$1,ipc!$A:$D,4,FALSE)/1000000,"")</f>
        <v/>
      </c>
      <c r="AG22">
        <f>IFERROR('dataset- CAIF corriente'!AG24*VLOOKUP(constante!AG$1,ipc!$A:$D,4,FALSE)/1000000,"")</f>
        <v/>
      </c>
    </row>
    <row r="23">
      <c r="A23" s="7" t="inlineStr">
        <is>
          <t>6) Recursos totales (1+4)</t>
        </is>
      </c>
      <c r="B23" s="8">
        <f>IFERROR('dataset- CAIF corriente'!B25*VLOOKUP(constante!B$1,ipc!$A:$D,4,FALSE)/1000000,"")</f>
        <v/>
      </c>
      <c r="C23" s="8">
        <f>IFERROR('dataset- CAIF corriente'!C25*VLOOKUP(constante!C$1,ipc!$A:$D,4,FALSE)/1000000,"")</f>
        <v/>
      </c>
      <c r="D23" s="8">
        <f>IFERROR('dataset- CAIF corriente'!D25*VLOOKUP(constante!D$1,ipc!$A:$D,4,FALSE)/1000000,"")</f>
        <v/>
      </c>
      <c r="E23" s="8">
        <f>IFERROR('dataset- CAIF corriente'!E25*VLOOKUP(constante!E$1,ipc!$A:$D,4,FALSE)/1000000,"")</f>
        <v/>
      </c>
      <c r="F23" s="8">
        <f>IFERROR('dataset- CAIF corriente'!F25*VLOOKUP(constante!F$1,ipc!$A:$D,4,FALSE)/1000000,"")</f>
        <v/>
      </c>
      <c r="G23" s="8">
        <f>IFERROR('dataset- CAIF corriente'!G25*VLOOKUP(constante!G$1,ipc!$A:$D,4,FALSE)/1000000,"")</f>
        <v/>
      </c>
      <c r="H23" s="8">
        <f>IFERROR('dataset- CAIF corriente'!H25*VLOOKUP(constante!H$1,ipc!$A:$D,4,FALSE)/1000000,"")</f>
        <v/>
      </c>
      <c r="I23" s="8">
        <f>IFERROR('dataset- CAIF corriente'!I25*VLOOKUP(constante!I$1,ipc!$A:$D,4,FALSE)/1000000,"")</f>
        <v/>
      </c>
      <c r="J23" s="8">
        <f>IFERROR('dataset- CAIF corriente'!J25*VLOOKUP(constante!J$1,ipc!$A:$D,4,FALSE)/1000000,"")</f>
        <v/>
      </c>
      <c r="K23" s="8">
        <f>IFERROR('dataset- CAIF corriente'!K25*VLOOKUP(constante!K$1,ipc!$A:$D,4,FALSE)/1000000,"")</f>
        <v/>
      </c>
      <c r="L23" s="8">
        <f>IFERROR('dataset- CAIF corriente'!L25*VLOOKUP(constante!L$1,ipc!$A:$D,4,FALSE)/1000000,"")</f>
        <v/>
      </c>
      <c r="M23" s="8">
        <f>IFERROR('dataset- CAIF corriente'!M25*VLOOKUP(constante!M$1,ipc!$A:$D,4,FALSE)/1000000,"")</f>
        <v/>
      </c>
      <c r="N23" s="8">
        <f>IFERROR('dataset- CAIF corriente'!N25*VLOOKUP(constante!N$1,ipc!$A:$D,4,FALSE)/1000000,"")</f>
        <v/>
      </c>
      <c r="O23" s="8">
        <f>IFERROR('dataset- CAIF corriente'!O25*VLOOKUP(constante!O$1,ipc!$A:$D,4,FALSE)/1000000,"")</f>
        <v/>
      </c>
      <c r="P23" s="8">
        <f>IFERROR('dataset- CAIF corriente'!P25*VLOOKUP(constante!P$1,ipc!$A:$D,4,FALSE)/1000000,"")</f>
        <v/>
      </c>
      <c r="Q23" s="8">
        <f>IFERROR('dataset- CAIF corriente'!Q25*VLOOKUP(constante!Q$1,ipc!$A:$D,4,FALSE)/1000000,"")</f>
        <v/>
      </c>
      <c r="R23" s="8">
        <f>IFERROR('dataset- CAIF corriente'!R25*VLOOKUP(constante!R$1,ipc!$A:$D,4,FALSE)/1000000,"")</f>
        <v/>
      </c>
      <c r="S23" s="8">
        <f>IFERROR('dataset- CAIF corriente'!S25*VLOOKUP(constante!S$1,ipc!$A:$D,4,FALSE)/1000000,"")</f>
        <v/>
      </c>
      <c r="T23" s="8">
        <f>IFERROR('dataset- CAIF corriente'!T25*VLOOKUP(constante!T$1,ipc!$A:$D,4,FALSE)/1000000,"")</f>
        <v/>
      </c>
      <c r="U23" s="8">
        <f>IFERROR('dataset- CAIF corriente'!U25*VLOOKUP(constante!U$1,ipc!$A:$D,4,FALSE)/1000000,"")</f>
        <v/>
      </c>
      <c r="V23" s="8">
        <f>IFERROR('dataset- CAIF corriente'!V25*VLOOKUP(constante!V$1,ipc!$A:$D,4,FALSE)/1000000,"")</f>
        <v/>
      </c>
      <c r="W23" s="8">
        <f>IFERROR('dataset- CAIF corriente'!W25*VLOOKUP(constante!W$1,ipc!$A:$D,4,FALSE)/1000000,"")</f>
        <v/>
      </c>
      <c r="X23" s="8">
        <f>IFERROR('dataset- CAIF corriente'!X25*VLOOKUP(constante!X$1,ipc!$A:$D,4,FALSE)/1000000,"")</f>
        <v/>
      </c>
      <c r="Y23" s="8">
        <f>IFERROR('dataset- CAIF corriente'!Y25*VLOOKUP(constante!Y$1,ipc!$A:$D,4,FALSE)/1000000,"")</f>
        <v/>
      </c>
      <c r="Z23" s="8">
        <f>IFERROR('dataset- CAIF corriente'!Z25*VLOOKUP(constante!Z$1,ipc!$A:$D,4,FALSE)/1000000,"")</f>
        <v/>
      </c>
      <c r="AA23" s="8">
        <f>IFERROR('dataset- CAIF corriente'!AA25*VLOOKUP(constante!AA$1,ipc!$A:$D,4,FALSE)/1000000,"")</f>
        <v/>
      </c>
      <c r="AB23" s="8">
        <f>IFERROR('dataset- CAIF corriente'!AB25*VLOOKUP(constante!AB$1,ipc!$A:$D,4,FALSE)/1000000,"")</f>
        <v/>
      </c>
      <c r="AC23" s="8">
        <f>IFERROR('dataset- CAIF corriente'!AC25*VLOOKUP(constante!AC$1,ipc!$A:$D,4,FALSE)/1000000,"")</f>
        <v/>
      </c>
      <c r="AD23" s="8">
        <f>IFERROR('dataset- CAIF corriente'!AD25*VLOOKUP(constante!AD$1,ipc!$A:$D,4,FALSE)/1000000,"")</f>
        <v/>
      </c>
      <c r="AE23" s="8">
        <f>IFERROR('dataset- CAIF corriente'!AE25*VLOOKUP(constante!AE$1,ipc!$A:$D,4,FALSE)/1000000,"")</f>
        <v/>
      </c>
      <c r="AF23">
        <f>IFERROR('dataset- CAIF corriente'!AF25*VLOOKUP(constante!AF$1,ipc!$A:$D,4,FALSE)/1000000,"")</f>
        <v/>
      </c>
      <c r="AG23">
        <f>IFERROR('dataset- CAIF corriente'!AG25*VLOOKUP(constante!AG$1,ipc!$A:$D,4,FALSE)/1000000,"")</f>
        <v/>
      </c>
    </row>
    <row r="24">
      <c r="A24" s="7" t="inlineStr">
        <is>
          <t>7) Gasto primario (2+5)</t>
        </is>
      </c>
      <c r="B24" s="8">
        <f>IFERROR('dataset- CAIF corriente'!B26*VLOOKUP(constante!B$1,ipc!$A:$D,4,FALSE)/1000000,"")</f>
        <v/>
      </c>
      <c r="C24" s="8">
        <f>IFERROR('dataset- CAIF corriente'!C26*VLOOKUP(constante!C$1,ipc!$A:$D,4,FALSE)/1000000,"")</f>
        <v/>
      </c>
      <c r="D24" s="8">
        <f>IFERROR('dataset- CAIF corriente'!D26*VLOOKUP(constante!D$1,ipc!$A:$D,4,FALSE)/1000000,"")</f>
        <v/>
      </c>
      <c r="E24" s="8">
        <f>IFERROR('dataset- CAIF corriente'!E26*VLOOKUP(constante!E$1,ipc!$A:$D,4,FALSE)/1000000,"")</f>
        <v/>
      </c>
      <c r="F24" s="8">
        <f>IFERROR('dataset- CAIF corriente'!F26*VLOOKUP(constante!F$1,ipc!$A:$D,4,FALSE)/1000000,"")</f>
        <v/>
      </c>
      <c r="G24" s="8">
        <f>IFERROR('dataset- CAIF corriente'!G26*VLOOKUP(constante!G$1,ipc!$A:$D,4,FALSE)/1000000,"")</f>
        <v/>
      </c>
      <c r="H24" s="8">
        <f>IFERROR('dataset- CAIF corriente'!H26*VLOOKUP(constante!H$1,ipc!$A:$D,4,FALSE)/1000000,"")</f>
        <v/>
      </c>
      <c r="I24" s="8">
        <f>IFERROR('dataset- CAIF corriente'!I26*VLOOKUP(constante!I$1,ipc!$A:$D,4,FALSE)/1000000,"")</f>
        <v/>
      </c>
      <c r="J24" s="8">
        <f>IFERROR('dataset- CAIF corriente'!J26*VLOOKUP(constante!J$1,ipc!$A:$D,4,FALSE)/1000000,"")</f>
        <v/>
      </c>
      <c r="K24" s="8">
        <f>IFERROR('dataset- CAIF corriente'!K26*VLOOKUP(constante!K$1,ipc!$A:$D,4,FALSE)/1000000,"")</f>
        <v/>
      </c>
      <c r="L24" s="8">
        <f>IFERROR('dataset- CAIF corriente'!L26*VLOOKUP(constante!L$1,ipc!$A:$D,4,FALSE)/1000000,"")</f>
        <v/>
      </c>
      <c r="M24" s="8">
        <f>IFERROR('dataset- CAIF corriente'!M26*VLOOKUP(constante!M$1,ipc!$A:$D,4,FALSE)/1000000,"")</f>
        <v/>
      </c>
      <c r="N24" s="8">
        <f>IFERROR('dataset- CAIF corriente'!N26*VLOOKUP(constante!N$1,ipc!$A:$D,4,FALSE)/1000000,"")</f>
        <v/>
      </c>
      <c r="O24" s="8">
        <f>IFERROR('dataset- CAIF corriente'!O26*VLOOKUP(constante!O$1,ipc!$A:$D,4,FALSE)/1000000,"")</f>
        <v/>
      </c>
      <c r="P24" s="8">
        <f>IFERROR('dataset- CAIF corriente'!P26*VLOOKUP(constante!P$1,ipc!$A:$D,4,FALSE)/1000000,"")</f>
        <v/>
      </c>
      <c r="Q24" s="8">
        <f>IFERROR('dataset- CAIF corriente'!Q26*VLOOKUP(constante!Q$1,ipc!$A:$D,4,FALSE)/1000000,"")</f>
        <v/>
      </c>
      <c r="R24" s="8">
        <f>IFERROR('dataset- CAIF corriente'!R26*VLOOKUP(constante!R$1,ipc!$A:$D,4,FALSE)/1000000,"")</f>
        <v/>
      </c>
      <c r="S24" s="8">
        <f>IFERROR('dataset- CAIF corriente'!S26*VLOOKUP(constante!S$1,ipc!$A:$D,4,FALSE)/1000000,"")</f>
        <v/>
      </c>
      <c r="T24" s="8">
        <f>IFERROR('dataset- CAIF corriente'!T26*VLOOKUP(constante!T$1,ipc!$A:$D,4,FALSE)/1000000,"")</f>
        <v/>
      </c>
      <c r="U24" s="8">
        <f>IFERROR('dataset- CAIF corriente'!U26*VLOOKUP(constante!U$1,ipc!$A:$D,4,FALSE)/1000000,"")</f>
        <v/>
      </c>
      <c r="V24" s="8">
        <f>IFERROR('dataset- CAIF corriente'!V26*VLOOKUP(constante!V$1,ipc!$A:$D,4,FALSE)/1000000,"")</f>
        <v/>
      </c>
      <c r="W24" s="8">
        <f>IFERROR('dataset- CAIF corriente'!W26*VLOOKUP(constante!W$1,ipc!$A:$D,4,FALSE)/1000000,"")</f>
        <v/>
      </c>
      <c r="X24" s="8">
        <f>IFERROR('dataset- CAIF corriente'!X26*VLOOKUP(constante!X$1,ipc!$A:$D,4,FALSE)/1000000,"")</f>
        <v/>
      </c>
      <c r="Y24" s="8">
        <f>IFERROR('dataset- CAIF corriente'!Y26*VLOOKUP(constante!Y$1,ipc!$A:$D,4,FALSE)/1000000,"")</f>
        <v/>
      </c>
      <c r="Z24" s="8">
        <f>IFERROR('dataset- CAIF corriente'!Z26*VLOOKUP(constante!Z$1,ipc!$A:$D,4,FALSE)/1000000,"")</f>
        <v/>
      </c>
      <c r="AA24" s="8">
        <f>IFERROR('dataset- CAIF corriente'!AA26*VLOOKUP(constante!AA$1,ipc!$A:$D,4,FALSE)/1000000,"")</f>
        <v/>
      </c>
      <c r="AB24" s="8">
        <f>IFERROR('dataset- CAIF corriente'!AB26*VLOOKUP(constante!AB$1,ipc!$A:$D,4,FALSE)/1000000,"")</f>
        <v/>
      </c>
      <c r="AC24" s="8">
        <f>IFERROR('dataset- CAIF corriente'!AC26*VLOOKUP(constante!AC$1,ipc!$A:$D,4,FALSE)/1000000,"")</f>
        <v/>
      </c>
      <c r="AD24" s="8">
        <f>IFERROR('dataset- CAIF corriente'!AD26*VLOOKUP(constante!AD$1,ipc!$A:$D,4,FALSE)/1000000,"")</f>
        <v/>
      </c>
      <c r="AE24" s="8">
        <f>IFERROR('dataset- CAIF corriente'!AE26*VLOOKUP(constante!AE$1,ipc!$A:$D,4,FALSE)/1000000,"")</f>
        <v/>
      </c>
      <c r="AF24">
        <f>IFERROR('dataset- CAIF corriente'!AF26*VLOOKUP(constante!AF$1,ipc!$A:$D,4,FALSE)/1000000,"")</f>
        <v/>
      </c>
      <c r="AG24">
        <f>IFERROR('dataset- CAIF corriente'!AG26*VLOOKUP(constante!AG$1,ipc!$A:$D,4,FALSE)/1000000,"")</f>
        <v/>
      </c>
    </row>
    <row r="25">
      <c r="A25" s="7" t="inlineStr">
        <is>
          <t>8) Resultado primario (6-7)</t>
        </is>
      </c>
      <c r="B25" s="8">
        <f>IFERROR('dataset- CAIF corriente'!B27*VLOOKUP(constante!B$1,ipc!$A:$D,4,FALSE)/1000000,"")</f>
        <v/>
      </c>
      <c r="C25" s="8">
        <f>IFERROR('dataset- CAIF corriente'!C27*VLOOKUP(constante!C$1,ipc!$A:$D,4,FALSE)/1000000,"")</f>
        <v/>
      </c>
      <c r="D25" s="8">
        <f>IFERROR('dataset- CAIF corriente'!D27*VLOOKUP(constante!D$1,ipc!$A:$D,4,FALSE)/1000000,"")</f>
        <v/>
      </c>
      <c r="E25" s="8">
        <f>IFERROR('dataset- CAIF corriente'!E27*VLOOKUP(constante!E$1,ipc!$A:$D,4,FALSE)/1000000,"")</f>
        <v/>
      </c>
      <c r="F25" s="8">
        <f>IFERROR('dataset- CAIF corriente'!F27*VLOOKUP(constante!F$1,ipc!$A:$D,4,FALSE)/1000000,"")</f>
        <v/>
      </c>
      <c r="G25" s="8">
        <f>IFERROR('dataset- CAIF corriente'!G27*VLOOKUP(constante!G$1,ipc!$A:$D,4,FALSE)/1000000,"")</f>
        <v/>
      </c>
      <c r="H25" s="8">
        <f>IFERROR('dataset- CAIF corriente'!H27*VLOOKUP(constante!H$1,ipc!$A:$D,4,FALSE)/1000000,"")</f>
        <v/>
      </c>
      <c r="I25" s="8">
        <f>IFERROR('dataset- CAIF corriente'!I27*VLOOKUP(constante!I$1,ipc!$A:$D,4,FALSE)/1000000,"")</f>
        <v/>
      </c>
      <c r="J25" s="8">
        <f>IFERROR('dataset- CAIF corriente'!J27*VLOOKUP(constante!J$1,ipc!$A:$D,4,FALSE)/1000000,"")</f>
        <v/>
      </c>
      <c r="K25" s="8">
        <f>IFERROR('dataset- CAIF corriente'!K27*VLOOKUP(constante!K$1,ipc!$A:$D,4,FALSE)/1000000,"")</f>
        <v/>
      </c>
      <c r="L25" s="8">
        <f>IFERROR('dataset- CAIF corriente'!L27*VLOOKUP(constante!L$1,ipc!$A:$D,4,FALSE)/1000000,"")</f>
        <v/>
      </c>
      <c r="M25" s="8">
        <f>IFERROR('dataset- CAIF corriente'!M27*VLOOKUP(constante!M$1,ipc!$A:$D,4,FALSE)/1000000,"")</f>
        <v/>
      </c>
      <c r="N25" s="8">
        <f>IFERROR('dataset- CAIF corriente'!N27*VLOOKUP(constante!N$1,ipc!$A:$D,4,FALSE)/1000000,"")</f>
        <v/>
      </c>
      <c r="O25" s="8">
        <f>IFERROR('dataset- CAIF corriente'!O27*VLOOKUP(constante!O$1,ipc!$A:$D,4,FALSE)/1000000,"")</f>
        <v/>
      </c>
      <c r="P25" s="8">
        <f>IFERROR('dataset- CAIF corriente'!P27*VLOOKUP(constante!P$1,ipc!$A:$D,4,FALSE)/1000000,"")</f>
        <v/>
      </c>
      <c r="Q25" s="8">
        <f>IFERROR('dataset- CAIF corriente'!Q27*VLOOKUP(constante!Q$1,ipc!$A:$D,4,FALSE)/1000000,"")</f>
        <v/>
      </c>
      <c r="R25" s="8">
        <f>IFERROR('dataset- CAIF corriente'!R27*VLOOKUP(constante!R$1,ipc!$A:$D,4,FALSE)/1000000,"")</f>
        <v/>
      </c>
      <c r="S25" s="8">
        <f>IFERROR('dataset- CAIF corriente'!S27*VLOOKUP(constante!S$1,ipc!$A:$D,4,FALSE)/1000000,"")</f>
        <v/>
      </c>
      <c r="T25" s="8">
        <f>IFERROR('dataset- CAIF corriente'!T27*VLOOKUP(constante!T$1,ipc!$A:$D,4,FALSE)/1000000,"")</f>
        <v/>
      </c>
      <c r="U25" s="8">
        <f>IFERROR('dataset- CAIF corriente'!U27*VLOOKUP(constante!U$1,ipc!$A:$D,4,FALSE)/1000000,"")</f>
        <v/>
      </c>
      <c r="V25" s="8">
        <f>IFERROR('dataset- CAIF corriente'!V27*VLOOKUP(constante!V$1,ipc!$A:$D,4,FALSE)/1000000,"")</f>
        <v/>
      </c>
      <c r="W25" s="8">
        <f>IFERROR('dataset- CAIF corriente'!W27*VLOOKUP(constante!W$1,ipc!$A:$D,4,FALSE)/1000000,"")</f>
        <v/>
      </c>
      <c r="X25" s="8">
        <f>IFERROR('dataset- CAIF corriente'!X27*VLOOKUP(constante!X$1,ipc!$A:$D,4,FALSE)/1000000,"")</f>
        <v/>
      </c>
      <c r="Y25" s="8">
        <f>IFERROR('dataset- CAIF corriente'!Y27*VLOOKUP(constante!Y$1,ipc!$A:$D,4,FALSE)/1000000,"")</f>
        <v/>
      </c>
      <c r="Z25" s="8">
        <f>IFERROR('dataset- CAIF corriente'!Z27*VLOOKUP(constante!Z$1,ipc!$A:$D,4,FALSE)/1000000,"")</f>
        <v/>
      </c>
      <c r="AA25" s="8">
        <f>IFERROR('dataset- CAIF corriente'!AA27*VLOOKUP(constante!AA$1,ipc!$A:$D,4,FALSE)/1000000,"")</f>
        <v/>
      </c>
      <c r="AB25" s="8">
        <f>IFERROR('dataset- CAIF corriente'!AB27*VLOOKUP(constante!AB$1,ipc!$A:$D,4,FALSE)/1000000,"")</f>
        <v/>
      </c>
      <c r="AC25" s="8">
        <f>IFERROR('dataset- CAIF corriente'!AC27*VLOOKUP(constante!AC$1,ipc!$A:$D,4,FALSE)/1000000,"")</f>
        <v/>
      </c>
      <c r="AD25" s="8">
        <f>IFERROR('dataset- CAIF corriente'!AD27*VLOOKUP(constante!AD$1,ipc!$A:$D,4,FALSE)/1000000,"")</f>
        <v/>
      </c>
      <c r="AE25" s="8">
        <f>IFERROR('dataset- CAIF corriente'!AE27*VLOOKUP(constante!AE$1,ipc!$A:$D,4,FALSE)/1000000,"")</f>
        <v/>
      </c>
      <c r="AF25">
        <f>IFERROR('dataset- CAIF corriente'!AF27*VLOOKUP(constante!AF$1,ipc!$A:$D,4,FALSE)/1000000,"")</f>
        <v/>
      </c>
      <c r="AG25">
        <f>IFERROR('dataset- CAIF corriente'!AG27*VLOOKUP(constante!AG$1,ipc!$A:$D,4,FALSE)/1000000,"")</f>
        <v/>
      </c>
    </row>
    <row r="26">
      <c r="A26" s="7" t="inlineStr">
        <is>
          <t>9) Intereses de la deuda pública</t>
        </is>
      </c>
      <c r="B26" s="8">
        <f>IFERROR('dataset- CAIF corriente'!B28*VLOOKUP(constante!B$1,ipc!$A:$D,4,FALSE)/1000000,"")</f>
        <v/>
      </c>
      <c r="C26" s="8">
        <f>IFERROR('dataset- CAIF corriente'!C28*VLOOKUP(constante!C$1,ipc!$A:$D,4,FALSE)/1000000,"")</f>
        <v/>
      </c>
      <c r="D26" s="8">
        <f>IFERROR('dataset- CAIF corriente'!D28*VLOOKUP(constante!D$1,ipc!$A:$D,4,FALSE)/1000000,"")</f>
        <v/>
      </c>
      <c r="E26" s="8">
        <f>IFERROR('dataset- CAIF corriente'!E28*VLOOKUP(constante!E$1,ipc!$A:$D,4,FALSE)/1000000,"")</f>
        <v/>
      </c>
      <c r="F26" s="8">
        <f>IFERROR('dataset- CAIF corriente'!F28*VLOOKUP(constante!F$1,ipc!$A:$D,4,FALSE)/1000000,"")</f>
        <v/>
      </c>
      <c r="G26" s="8">
        <f>IFERROR('dataset- CAIF corriente'!G28*VLOOKUP(constante!G$1,ipc!$A:$D,4,FALSE)/1000000,"")</f>
        <v/>
      </c>
      <c r="H26" s="8">
        <f>IFERROR('dataset- CAIF corriente'!H28*VLOOKUP(constante!H$1,ipc!$A:$D,4,FALSE)/1000000,"")</f>
        <v/>
      </c>
      <c r="I26" s="8">
        <f>IFERROR('dataset- CAIF corriente'!I28*VLOOKUP(constante!I$1,ipc!$A:$D,4,FALSE)/1000000,"")</f>
        <v/>
      </c>
      <c r="J26" s="8">
        <f>IFERROR('dataset- CAIF corriente'!J28*VLOOKUP(constante!J$1,ipc!$A:$D,4,FALSE)/1000000,"")</f>
        <v/>
      </c>
      <c r="K26" s="8">
        <f>IFERROR('dataset- CAIF corriente'!K28*VLOOKUP(constante!K$1,ipc!$A:$D,4,FALSE)/1000000,"")</f>
        <v/>
      </c>
      <c r="L26" s="8">
        <f>IFERROR('dataset- CAIF corriente'!L28*VLOOKUP(constante!L$1,ipc!$A:$D,4,FALSE)/1000000,"")</f>
        <v/>
      </c>
      <c r="M26" s="8">
        <f>IFERROR('dataset- CAIF corriente'!M28*VLOOKUP(constante!M$1,ipc!$A:$D,4,FALSE)/1000000,"")</f>
        <v/>
      </c>
      <c r="N26" s="8">
        <f>IFERROR('dataset- CAIF corriente'!N28*VLOOKUP(constante!N$1,ipc!$A:$D,4,FALSE)/1000000,"")</f>
        <v/>
      </c>
      <c r="O26" s="8">
        <f>IFERROR('dataset- CAIF corriente'!O28*VLOOKUP(constante!O$1,ipc!$A:$D,4,FALSE)/1000000,"")</f>
        <v/>
      </c>
      <c r="P26" s="8">
        <f>IFERROR('dataset- CAIF corriente'!P28*VLOOKUP(constante!P$1,ipc!$A:$D,4,FALSE)/1000000,"")</f>
        <v/>
      </c>
      <c r="Q26" s="8">
        <f>IFERROR('dataset- CAIF corriente'!Q28*VLOOKUP(constante!Q$1,ipc!$A:$D,4,FALSE)/1000000,"")</f>
        <v/>
      </c>
      <c r="R26" s="8">
        <f>IFERROR('dataset- CAIF corriente'!R28*VLOOKUP(constante!R$1,ipc!$A:$D,4,FALSE)/1000000,"")</f>
        <v/>
      </c>
      <c r="S26" s="8">
        <f>IFERROR('dataset- CAIF corriente'!S28*VLOOKUP(constante!S$1,ipc!$A:$D,4,FALSE)/1000000,"")</f>
        <v/>
      </c>
      <c r="T26" s="8">
        <f>IFERROR('dataset- CAIF corriente'!T28*VLOOKUP(constante!T$1,ipc!$A:$D,4,FALSE)/1000000,"")</f>
        <v/>
      </c>
      <c r="U26" s="8">
        <f>IFERROR('dataset- CAIF corriente'!U28*VLOOKUP(constante!U$1,ipc!$A:$D,4,FALSE)/1000000,"")</f>
        <v/>
      </c>
      <c r="V26" s="8">
        <f>IFERROR('dataset- CAIF corriente'!V28*VLOOKUP(constante!V$1,ipc!$A:$D,4,FALSE)/1000000,"")</f>
        <v/>
      </c>
      <c r="W26" s="8">
        <f>IFERROR('dataset- CAIF corriente'!W28*VLOOKUP(constante!W$1,ipc!$A:$D,4,FALSE)/1000000,"")</f>
        <v/>
      </c>
      <c r="X26" s="8">
        <f>IFERROR('dataset- CAIF corriente'!X28*VLOOKUP(constante!X$1,ipc!$A:$D,4,FALSE)/1000000,"")</f>
        <v/>
      </c>
      <c r="Y26" s="8">
        <f>IFERROR('dataset- CAIF corriente'!Y28*VLOOKUP(constante!Y$1,ipc!$A:$D,4,FALSE)/1000000,"")</f>
        <v/>
      </c>
      <c r="Z26" s="8">
        <f>IFERROR('dataset- CAIF corriente'!Z28*VLOOKUP(constante!Z$1,ipc!$A:$D,4,FALSE)/1000000,"")</f>
        <v/>
      </c>
      <c r="AA26" s="8">
        <f>IFERROR('dataset- CAIF corriente'!AA28*VLOOKUP(constante!AA$1,ipc!$A:$D,4,FALSE)/1000000,"")</f>
        <v/>
      </c>
      <c r="AB26" s="8">
        <f>IFERROR('dataset- CAIF corriente'!AB28*VLOOKUP(constante!AB$1,ipc!$A:$D,4,FALSE)/1000000,"")</f>
        <v/>
      </c>
      <c r="AC26" s="8">
        <f>IFERROR('dataset- CAIF corriente'!AC28*VLOOKUP(constante!AC$1,ipc!$A:$D,4,FALSE)/1000000,"")</f>
        <v/>
      </c>
      <c r="AD26" s="8">
        <f>IFERROR('dataset- CAIF corriente'!AD28*VLOOKUP(constante!AD$1,ipc!$A:$D,4,FALSE)/1000000,"")</f>
        <v/>
      </c>
      <c r="AE26" s="8">
        <f>IFERROR('dataset- CAIF corriente'!AE28*VLOOKUP(constante!AE$1,ipc!$A:$D,4,FALSE)/1000000,"")</f>
        <v/>
      </c>
      <c r="AF26">
        <f>IFERROR('dataset- CAIF corriente'!AF28*VLOOKUP(constante!AF$1,ipc!$A:$D,4,FALSE)/1000000,"")</f>
        <v/>
      </c>
      <c r="AG26">
        <f>IFERROR('dataset- CAIF corriente'!AG28*VLOOKUP(constante!AG$1,ipc!$A:$D,4,FALSE)/1000000,"")</f>
        <v/>
      </c>
    </row>
    <row r="27">
      <c r="A27" s="7" t="inlineStr">
        <is>
          <t>10) Gastos totales (7+9)</t>
        </is>
      </c>
      <c r="B27" s="8">
        <f>IFERROR('dataset- CAIF corriente'!B29*VLOOKUP(constante!B$1,ipc!$A:$D,4,FALSE)/1000000,"")</f>
        <v/>
      </c>
      <c r="C27" s="8">
        <f>IFERROR('dataset- CAIF corriente'!C29*VLOOKUP(constante!C$1,ipc!$A:$D,4,FALSE)/1000000,"")</f>
        <v/>
      </c>
      <c r="D27" s="8">
        <f>IFERROR('dataset- CAIF corriente'!D29*VLOOKUP(constante!D$1,ipc!$A:$D,4,FALSE)/1000000,"")</f>
        <v/>
      </c>
      <c r="E27" s="8">
        <f>IFERROR('dataset- CAIF corriente'!E29*VLOOKUP(constante!E$1,ipc!$A:$D,4,FALSE)/1000000,"")</f>
        <v/>
      </c>
      <c r="F27" s="8">
        <f>IFERROR('dataset- CAIF corriente'!F29*VLOOKUP(constante!F$1,ipc!$A:$D,4,FALSE)/1000000,"")</f>
        <v/>
      </c>
      <c r="G27" s="8">
        <f>IFERROR('dataset- CAIF corriente'!G29*VLOOKUP(constante!G$1,ipc!$A:$D,4,FALSE)/1000000,"")</f>
        <v/>
      </c>
      <c r="H27" s="8">
        <f>IFERROR('dataset- CAIF corriente'!H29*VLOOKUP(constante!H$1,ipc!$A:$D,4,FALSE)/1000000,"")</f>
        <v/>
      </c>
      <c r="I27" s="8">
        <f>IFERROR('dataset- CAIF corriente'!I29*VLOOKUP(constante!I$1,ipc!$A:$D,4,FALSE)/1000000,"")</f>
        <v/>
      </c>
      <c r="J27" s="8">
        <f>IFERROR('dataset- CAIF corriente'!J29*VLOOKUP(constante!J$1,ipc!$A:$D,4,FALSE)/1000000,"")</f>
        <v/>
      </c>
      <c r="K27" s="8">
        <f>IFERROR('dataset- CAIF corriente'!K29*VLOOKUP(constante!K$1,ipc!$A:$D,4,FALSE)/1000000,"")</f>
        <v/>
      </c>
      <c r="L27" s="8">
        <f>IFERROR('dataset- CAIF corriente'!L29*VLOOKUP(constante!L$1,ipc!$A:$D,4,FALSE)/1000000,"")</f>
        <v/>
      </c>
      <c r="M27" s="8">
        <f>IFERROR('dataset- CAIF corriente'!M29*VLOOKUP(constante!M$1,ipc!$A:$D,4,FALSE)/1000000,"")</f>
        <v/>
      </c>
      <c r="N27" s="8">
        <f>IFERROR('dataset- CAIF corriente'!N29*VLOOKUP(constante!N$1,ipc!$A:$D,4,FALSE)/1000000,"")</f>
        <v/>
      </c>
      <c r="O27" s="8">
        <f>IFERROR('dataset- CAIF corriente'!O29*VLOOKUP(constante!O$1,ipc!$A:$D,4,FALSE)/1000000,"")</f>
        <v/>
      </c>
      <c r="P27" s="8">
        <f>IFERROR('dataset- CAIF corriente'!P29*VLOOKUP(constante!P$1,ipc!$A:$D,4,FALSE)/1000000,"")</f>
        <v/>
      </c>
      <c r="Q27" s="8">
        <f>IFERROR('dataset- CAIF corriente'!Q29*VLOOKUP(constante!Q$1,ipc!$A:$D,4,FALSE)/1000000,"")</f>
        <v/>
      </c>
      <c r="R27" s="8">
        <f>IFERROR('dataset- CAIF corriente'!R29*VLOOKUP(constante!R$1,ipc!$A:$D,4,FALSE)/1000000,"")</f>
        <v/>
      </c>
      <c r="S27" s="8">
        <f>IFERROR('dataset- CAIF corriente'!S29*VLOOKUP(constante!S$1,ipc!$A:$D,4,FALSE)/1000000,"")</f>
        <v/>
      </c>
      <c r="T27" s="8">
        <f>IFERROR('dataset- CAIF corriente'!T29*VLOOKUP(constante!T$1,ipc!$A:$D,4,FALSE)/1000000,"")</f>
        <v/>
      </c>
      <c r="U27" s="8">
        <f>IFERROR('dataset- CAIF corriente'!U29*VLOOKUP(constante!U$1,ipc!$A:$D,4,FALSE)/1000000,"")</f>
        <v/>
      </c>
      <c r="V27" s="8">
        <f>IFERROR('dataset- CAIF corriente'!V29*VLOOKUP(constante!V$1,ipc!$A:$D,4,FALSE)/1000000,"")</f>
        <v/>
      </c>
      <c r="W27" s="8">
        <f>IFERROR('dataset- CAIF corriente'!W29*VLOOKUP(constante!W$1,ipc!$A:$D,4,FALSE)/1000000,"")</f>
        <v/>
      </c>
      <c r="X27" s="8">
        <f>IFERROR('dataset- CAIF corriente'!X29*VLOOKUP(constante!X$1,ipc!$A:$D,4,FALSE)/1000000,"")</f>
        <v/>
      </c>
      <c r="Y27" s="8">
        <f>IFERROR('dataset- CAIF corriente'!Y29*VLOOKUP(constante!Y$1,ipc!$A:$D,4,FALSE)/1000000,"")</f>
        <v/>
      </c>
      <c r="Z27" s="8">
        <f>IFERROR('dataset- CAIF corriente'!Z29*VLOOKUP(constante!Z$1,ipc!$A:$D,4,FALSE)/1000000,"")</f>
        <v/>
      </c>
      <c r="AA27" s="8">
        <f>IFERROR('dataset- CAIF corriente'!AA29*VLOOKUP(constante!AA$1,ipc!$A:$D,4,FALSE)/1000000,"")</f>
        <v/>
      </c>
      <c r="AB27" s="8">
        <f>IFERROR('dataset- CAIF corriente'!AB29*VLOOKUP(constante!AB$1,ipc!$A:$D,4,FALSE)/1000000,"")</f>
        <v/>
      </c>
      <c r="AC27" s="8">
        <f>IFERROR('dataset- CAIF corriente'!AC29*VLOOKUP(constante!AC$1,ipc!$A:$D,4,FALSE)/1000000,"")</f>
        <v/>
      </c>
      <c r="AD27" s="8">
        <f>IFERROR('dataset- CAIF corriente'!AD29*VLOOKUP(constante!AD$1,ipc!$A:$D,4,FALSE)/1000000,"")</f>
        <v/>
      </c>
      <c r="AE27" s="8">
        <f>IFERROR('dataset- CAIF corriente'!AE29*VLOOKUP(constante!AE$1,ipc!$A:$D,4,FALSE)/1000000,"")</f>
        <v/>
      </c>
      <c r="AF27">
        <f>IFERROR('dataset- CAIF corriente'!AF29*VLOOKUP(constante!AF$1,ipc!$A:$D,4,FALSE)/1000000,"")</f>
        <v/>
      </c>
      <c r="AG27">
        <f>IFERROR('dataset- CAIF corriente'!AG29*VLOOKUP(constante!AG$1,ipc!$A:$D,4,FALSE)/1000000,"")</f>
        <v/>
      </c>
    </row>
    <row r="28">
      <c r="A28" s="7" t="inlineStr">
        <is>
          <t>11) Resultado financiero antes de figurativas (6-10)</t>
        </is>
      </c>
      <c r="B28" s="8">
        <f>IFERROR('dataset- CAIF corriente'!B30*VLOOKUP(constante!B$1,ipc!$A:$D,4,FALSE)/1000000,"")</f>
        <v/>
      </c>
      <c r="C28" s="8">
        <f>IFERROR('dataset- CAIF corriente'!C30*VLOOKUP(constante!C$1,ipc!$A:$D,4,FALSE)/1000000,"")</f>
        <v/>
      </c>
      <c r="D28" s="8">
        <f>IFERROR('dataset- CAIF corriente'!D30*VLOOKUP(constante!D$1,ipc!$A:$D,4,FALSE)/1000000,"")</f>
        <v/>
      </c>
      <c r="E28" s="8">
        <f>IFERROR('dataset- CAIF corriente'!E30*VLOOKUP(constante!E$1,ipc!$A:$D,4,FALSE)/1000000,"")</f>
        <v/>
      </c>
      <c r="F28" s="8">
        <f>IFERROR('dataset- CAIF corriente'!F30*VLOOKUP(constante!F$1,ipc!$A:$D,4,FALSE)/1000000,"")</f>
        <v/>
      </c>
      <c r="G28" s="8">
        <f>IFERROR('dataset- CAIF corriente'!G30*VLOOKUP(constante!G$1,ipc!$A:$D,4,FALSE)/1000000,"")</f>
        <v/>
      </c>
      <c r="H28" s="8">
        <f>IFERROR('dataset- CAIF corriente'!H30*VLOOKUP(constante!H$1,ipc!$A:$D,4,FALSE)/1000000,"")</f>
        <v/>
      </c>
      <c r="I28" s="8">
        <f>IFERROR('dataset- CAIF corriente'!I30*VLOOKUP(constante!I$1,ipc!$A:$D,4,FALSE)/1000000,"")</f>
        <v/>
      </c>
      <c r="J28" s="8">
        <f>IFERROR('dataset- CAIF corriente'!J30*VLOOKUP(constante!J$1,ipc!$A:$D,4,FALSE)/1000000,"")</f>
        <v/>
      </c>
      <c r="K28" s="8">
        <f>IFERROR('dataset- CAIF corriente'!K30*VLOOKUP(constante!K$1,ipc!$A:$D,4,FALSE)/1000000,"")</f>
        <v/>
      </c>
      <c r="L28" s="8">
        <f>IFERROR('dataset- CAIF corriente'!L30*VLOOKUP(constante!L$1,ipc!$A:$D,4,FALSE)/1000000,"")</f>
        <v/>
      </c>
      <c r="M28" s="8">
        <f>IFERROR('dataset- CAIF corriente'!M30*VLOOKUP(constante!M$1,ipc!$A:$D,4,FALSE)/1000000,"")</f>
        <v/>
      </c>
      <c r="N28" s="8">
        <f>IFERROR('dataset- CAIF corriente'!N30*VLOOKUP(constante!N$1,ipc!$A:$D,4,FALSE)/1000000,"")</f>
        <v/>
      </c>
      <c r="O28" s="8">
        <f>IFERROR('dataset- CAIF corriente'!O30*VLOOKUP(constante!O$1,ipc!$A:$D,4,FALSE)/1000000,"")</f>
        <v/>
      </c>
      <c r="P28" s="8">
        <f>IFERROR('dataset- CAIF corriente'!P30*VLOOKUP(constante!P$1,ipc!$A:$D,4,FALSE)/1000000,"")</f>
        <v/>
      </c>
      <c r="Q28" s="8">
        <f>IFERROR('dataset- CAIF corriente'!Q30*VLOOKUP(constante!Q$1,ipc!$A:$D,4,FALSE)/1000000,"")</f>
        <v/>
      </c>
      <c r="R28" s="8">
        <f>IFERROR('dataset- CAIF corriente'!R30*VLOOKUP(constante!R$1,ipc!$A:$D,4,FALSE)/1000000,"")</f>
        <v/>
      </c>
      <c r="S28" s="8">
        <f>IFERROR('dataset- CAIF corriente'!S30*VLOOKUP(constante!S$1,ipc!$A:$D,4,FALSE)/1000000,"")</f>
        <v/>
      </c>
      <c r="T28" s="8">
        <f>IFERROR('dataset- CAIF corriente'!T30*VLOOKUP(constante!T$1,ipc!$A:$D,4,FALSE)/1000000,"")</f>
        <v/>
      </c>
      <c r="U28" s="8">
        <f>IFERROR('dataset- CAIF corriente'!U30*VLOOKUP(constante!U$1,ipc!$A:$D,4,FALSE)/1000000,"")</f>
        <v/>
      </c>
      <c r="V28" s="8">
        <f>IFERROR('dataset- CAIF corriente'!V30*VLOOKUP(constante!V$1,ipc!$A:$D,4,FALSE)/1000000,"")</f>
        <v/>
      </c>
      <c r="W28" s="8">
        <f>IFERROR('dataset- CAIF corriente'!W30*VLOOKUP(constante!W$1,ipc!$A:$D,4,FALSE)/1000000,"")</f>
        <v/>
      </c>
      <c r="X28" s="8">
        <f>IFERROR('dataset- CAIF corriente'!X30*VLOOKUP(constante!X$1,ipc!$A:$D,4,FALSE)/1000000,"")</f>
        <v/>
      </c>
      <c r="Y28" s="8">
        <f>IFERROR('dataset- CAIF corriente'!Y30*VLOOKUP(constante!Y$1,ipc!$A:$D,4,FALSE)/1000000,"")</f>
        <v/>
      </c>
      <c r="Z28" s="8">
        <f>IFERROR('dataset- CAIF corriente'!Z30*VLOOKUP(constante!Z$1,ipc!$A:$D,4,FALSE)/1000000,"")</f>
        <v/>
      </c>
      <c r="AA28" s="8">
        <f>IFERROR('dataset- CAIF corriente'!AA30*VLOOKUP(constante!AA$1,ipc!$A:$D,4,FALSE)/1000000,"")</f>
        <v/>
      </c>
      <c r="AB28" s="8">
        <f>IFERROR('dataset- CAIF corriente'!AB30*VLOOKUP(constante!AB$1,ipc!$A:$D,4,FALSE)/1000000,"")</f>
        <v/>
      </c>
      <c r="AC28" s="8">
        <f>IFERROR('dataset- CAIF corriente'!AC30*VLOOKUP(constante!AC$1,ipc!$A:$D,4,FALSE)/1000000,"")</f>
        <v/>
      </c>
      <c r="AD28" s="8">
        <f>IFERROR('dataset- CAIF corriente'!AD30*VLOOKUP(constante!AD$1,ipc!$A:$D,4,FALSE)/1000000,"")</f>
        <v/>
      </c>
      <c r="AE28" s="8">
        <f>IFERROR('dataset- CAIF corriente'!AE30*VLOOKUP(constante!AE$1,ipc!$A:$D,4,FALSE)/1000000,"")</f>
        <v/>
      </c>
      <c r="AF28">
        <f>IFERROR('dataset- CAIF corriente'!AF30*VLOOKUP(constante!AF$1,ipc!$A:$D,4,FALSE)/1000000,"")</f>
        <v/>
      </c>
      <c r="AG28">
        <f>IFERROR('dataset- CAIF corriente'!AG30*VLOOKUP(constante!AG$1,ipc!$A:$D,4,FALSE)/1000000,"")</f>
        <v/>
      </c>
    </row>
    <row r="29">
      <c r="A29" s="33" t="inlineStr">
        <is>
          <t>12) Contribuciones figurativas</t>
        </is>
      </c>
      <c r="B29" s="8">
        <f>IFERROR('dataset- CAIF corriente'!B31*VLOOKUP(constante!B$1,ipc!$A:$D,4,FALSE)/1000000,"")</f>
        <v/>
      </c>
      <c r="C29" s="8">
        <f>IFERROR('dataset- CAIF corriente'!C31*VLOOKUP(constante!C$1,ipc!$A:$D,4,FALSE)/1000000,"")</f>
        <v/>
      </c>
      <c r="D29" s="8">
        <f>IFERROR('dataset- CAIF corriente'!D31*VLOOKUP(constante!D$1,ipc!$A:$D,4,FALSE)/1000000,"")</f>
        <v/>
      </c>
      <c r="E29" s="8">
        <f>IFERROR('dataset- CAIF corriente'!E31*VLOOKUP(constante!E$1,ipc!$A:$D,4,FALSE)/1000000,"")</f>
        <v/>
      </c>
      <c r="F29" s="8">
        <f>IFERROR('dataset- CAIF corriente'!F31*VLOOKUP(constante!F$1,ipc!$A:$D,4,FALSE)/1000000,"")</f>
        <v/>
      </c>
      <c r="G29" s="8">
        <f>IFERROR('dataset- CAIF corriente'!G31*VLOOKUP(constante!G$1,ipc!$A:$D,4,FALSE)/1000000,"")</f>
        <v/>
      </c>
      <c r="H29" s="8">
        <f>IFERROR('dataset- CAIF corriente'!H31*VLOOKUP(constante!H$1,ipc!$A:$D,4,FALSE)/1000000,"")</f>
        <v/>
      </c>
      <c r="I29" s="8">
        <f>IFERROR('dataset- CAIF corriente'!I31*VLOOKUP(constante!I$1,ipc!$A:$D,4,FALSE)/1000000,"")</f>
        <v/>
      </c>
      <c r="J29" s="8">
        <f>IFERROR('dataset- CAIF corriente'!J31*VLOOKUP(constante!J$1,ipc!$A:$D,4,FALSE)/1000000,"")</f>
        <v/>
      </c>
      <c r="K29" s="8">
        <f>IFERROR('dataset- CAIF corriente'!K31*VLOOKUP(constante!K$1,ipc!$A:$D,4,FALSE)/1000000,"")</f>
        <v/>
      </c>
      <c r="L29" s="8">
        <f>IFERROR('dataset- CAIF corriente'!L31*VLOOKUP(constante!L$1,ipc!$A:$D,4,FALSE)/1000000,"")</f>
        <v/>
      </c>
      <c r="M29" s="8">
        <f>IFERROR('dataset- CAIF corriente'!M31*VLOOKUP(constante!M$1,ipc!$A:$D,4,FALSE)/1000000,"")</f>
        <v/>
      </c>
      <c r="N29" s="8">
        <f>IFERROR('dataset- CAIF corriente'!N31*VLOOKUP(constante!N$1,ipc!$A:$D,4,FALSE)/1000000,"")</f>
        <v/>
      </c>
      <c r="O29" s="8">
        <f>IFERROR('dataset- CAIF corriente'!O31*VLOOKUP(constante!O$1,ipc!$A:$D,4,FALSE)/1000000,"")</f>
        <v/>
      </c>
      <c r="P29" s="8">
        <f>IFERROR('dataset- CAIF corriente'!P31*VLOOKUP(constante!P$1,ipc!$A:$D,4,FALSE)/1000000,"")</f>
        <v/>
      </c>
      <c r="Q29" s="8">
        <f>IFERROR('dataset- CAIF corriente'!Q31*VLOOKUP(constante!Q$1,ipc!$A:$D,4,FALSE)/1000000,"")</f>
        <v/>
      </c>
      <c r="R29" s="8">
        <f>IFERROR('dataset- CAIF corriente'!R31*VLOOKUP(constante!R$1,ipc!$A:$D,4,FALSE)/1000000,"")</f>
        <v/>
      </c>
      <c r="S29" s="8">
        <f>IFERROR('dataset- CAIF corriente'!S31*VLOOKUP(constante!S$1,ipc!$A:$D,4,FALSE)/1000000,"")</f>
        <v/>
      </c>
      <c r="T29" s="8">
        <f>IFERROR('dataset- CAIF corriente'!T31*VLOOKUP(constante!T$1,ipc!$A:$D,4,FALSE)/1000000,"")</f>
        <v/>
      </c>
      <c r="U29" s="8">
        <f>IFERROR('dataset- CAIF corriente'!U31*VLOOKUP(constante!U$1,ipc!$A:$D,4,FALSE)/1000000,"")</f>
        <v/>
      </c>
      <c r="V29" s="8">
        <f>IFERROR('dataset- CAIF corriente'!V31*VLOOKUP(constante!V$1,ipc!$A:$D,4,FALSE)/1000000,"")</f>
        <v/>
      </c>
      <c r="W29" s="8">
        <f>IFERROR('dataset- CAIF corriente'!W31*VLOOKUP(constante!W$1,ipc!$A:$D,4,FALSE)/1000000,"")</f>
        <v/>
      </c>
      <c r="X29" s="8">
        <f>IFERROR('dataset- CAIF corriente'!X31*VLOOKUP(constante!X$1,ipc!$A:$D,4,FALSE)/1000000,"")</f>
        <v/>
      </c>
      <c r="Y29" s="8">
        <f>IFERROR('dataset- CAIF corriente'!Y31*VLOOKUP(constante!Y$1,ipc!$A:$D,4,FALSE)/1000000,"")</f>
        <v/>
      </c>
      <c r="Z29" s="8">
        <f>IFERROR('dataset- CAIF corriente'!Z31*VLOOKUP(constante!Z$1,ipc!$A:$D,4,FALSE)/1000000,"")</f>
        <v/>
      </c>
      <c r="AA29" s="8">
        <f>IFERROR('dataset- CAIF corriente'!AA31*VLOOKUP(constante!AA$1,ipc!$A:$D,4,FALSE)/1000000,"")</f>
        <v/>
      </c>
      <c r="AB29" s="8">
        <f>IFERROR('dataset- CAIF corriente'!AB31*VLOOKUP(constante!AB$1,ipc!$A:$D,4,FALSE)/1000000,"")</f>
        <v/>
      </c>
      <c r="AC29" s="8">
        <f>IFERROR('dataset- CAIF corriente'!AC31*VLOOKUP(constante!AC$1,ipc!$A:$D,4,FALSE)/1000000,"")</f>
        <v/>
      </c>
      <c r="AD29" s="8">
        <f>IFERROR('dataset- CAIF corriente'!AD31*VLOOKUP(constante!AD$1,ipc!$A:$D,4,FALSE)/1000000,"")</f>
        <v/>
      </c>
      <c r="AE29" s="8">
        <f>IFERROR('dataset- CAIF corriente'!AE31*VLOOKUP(constante!AE$1,ipc!$A:$D,4,FALSE)/1000000,"")</f>
        <v/>
      </c>
      <c r="AF29">
        <f>IFERROR('dataset- CAIF corriente'!AF31*VLOOKUP(constante!AF$1,ipc!$A:$D,4,FALSE)/1000000,"")</f>
        <v/>
      </c>
      <c r="AG29">
        <f>IFERROR('dataset- CAIF corriente'!AG31*VLOOKUP(constante!AG$1,ipc!$A:$D,4,FALSE)/1000000,"")</f>
        <v/>
      </c>
    </row>
    <row r="30">
      <c r="A30" s="33" t="inlineStr">
        <is>
          <t>13) Gastos figurativos</t>
        </is>
      </c>
      <c r="B30" s="8">
        <f>IFERROR('dataset- CAIF corriente'!B32*VLOOKUP(constante!B$1,ipc!$A:$D,4,FALSE)/1000000,"")</f>
        <v/>
      </c>
      <c r="C30" s="8">
        <f>IFERROR('dataset- CAIF corriente'!C32*VLOOKUP(constante!C$1,ipc!$A:$D,4,FALSE)/1000000,"")</f>
        <v/>
      </c>
      <c r="D30" s="8">
        <f>IFERROR('dataset- CAIF corriente'!D32*VLOOKUP(constante!D$1,ipc!$A:$D,4,FALSE)/1000000,"")</f>
        <v/>
      </c>
      <c r="E30" s="8">
        <f>IFERROR('dataset- CAIF corriente'!E32*VLOOKUP(constante!E$1,ipc!$A:$D,4,FALSE)/1000000,"")</f>
        <v/>
      </c>
      <c r="F30" s="8">
        <f>IFERROR('dataset- CAIF corriente'!F32*VLOOKUP(constante!F$1,ipc!$A:$D,4,FALSE)/1000000,"")</f>
        <v/>
      </c>
      <c r="G30" s="8">
        <f>IFERROR('dataset- CAIF corriente'!G32*VLOOKUP(constante!G$1,ipc!$A:$D,4,FALSE)/1000000,"")</f>
        <v/>
      </c>
      <c r="H30" s="8">
        <f>IFERROR('dataset- CAIF corriente'!H32*VLOOKUP(constante!H$1,ipc!$A:$D,4,FALSE)/1000000,"")</f>
        <v/>
      </c>
      <c r="I30" s="8">
        <f>IFERROR('dataset- CAIF corriente'!I32*VLOOKUP(constante!I$1,ipc!$A:$D,4,FALSE)/1000000,"")</f>
        <v/>
      </c>
      <c r="J30" s="8">
        <f>IFERROR('dataset- CAIF corriente'!J32*VLOOKUP(constante!J$1,ipc!$A:$D,4,FALSE)/1000000,"")</f>
        <v/>
      </c>
      <c r="K30" s="8">
        <f>IFERROR('dataset- CAIF corriente'!K32*VLOOKUP(constante!K$1,ipc!$A:$D,4,FALSE)/1000000,"")</f>
        <v/>
      </c>
      <c r="L30" s="8">
        <f>IFERROR('dataset- CAIF corriente'!L32*VLOOKUP(constante!L$1,ipc!$A:$D,4,FALSE)/1000000,"")</f>
        <v/>
      </c>
      <c r="M30" s="8">
        <f>IFERROR('dataset- CAIF corriente'!M32*VLOOKUP(constante!M$1,ipc!$A:$D,4,FALSE)/1000000,"")</f>
        <v/>
      </c>
      <c r="N30" s="8">
        <f>IFERROR('dataset- CAIF corriente'!N32*VLOOKUP(constante!N$1,ipc!$A:$D,4,FALSE)/1000000,"")</f>
        <v/>
      </c>
      <c r="O30" s="8">
        <f>IFERROR('dataset- CAIF corriente'!O32*VLOOKUP(constante!O$1,ipc!$A:$D,4,FALSE)/1000000,"")</f>
        <v/>
      </c>
      <c r="P30" s="8">
        <f>IFERROR('dataset- CAIF corriente'!P32*VLOOKUP(constante!P$1,ipc!$A:$D,4,FALSE)/1000000,"")</f>
        <v/>
      </c>
      <c r="Q30" s="8">
        <f>IFERROR('dataset- CAIF corriente'!Q32*VLOOKUP(constante!Q$1,ipc!$A:$D,4,FALSE)/1000000,"")</f>
        <v/>
      </c>
      <c r="R30" s="8">
        <f>IFERROR('dataset- CAIF corriente'!R32*VLOOKUP(constante!R$1,ipc!$A:$D,4,FALSE)/1000000,"")</f>
        <v/>
      </c>
      <c r="S30" s="8">
        <f>IFERROR('dataset- CAIF corriente'!S32*VLOOKUP(constante!S$1,ipc!$A:$D,4,FALSE)/1000000,"")</f>
        <v/>
      </c>
      <c r="T30" s="8">
        <f>IFERROR('dataset- CAIF corriente'!T32*VLOOKUP(constante!T$1,ipc!$A:$D,4,FALSE)/1000000,"")</f>
        <v/>
      </c>
      <c r="U30" s="8">
        <f>IFERROR('dataset- CAIF corriente'!U32*VLOOKUP(constante!U$1,ipc!$A:$D,4,FALSE)/1000000,"")</f>
        <v/>
      </c>
      <c r="V30" s="8">
        <f>IFERROR('dataset- CAIF corriente'!V32*VLOOKUP(constante!V$1,ipc!$A:$D,4,FALSE)/1000000,"")</f>
        <v/>
      </c>
      <c r="W30" s="8">
        <f>IFERROR('dataset- CAIF corriente'!W32*VLOOKUP(constante!W$1,ipc!$A:$D,4,FALSE)/1000000,"")</f>
        <v/>
      </c>
      <c r="X30" s="8">
        <f>IFERROR('dataset- CAIF corriente'!X32*VLOOKUP(constante!X$1,ipc!$A:$D,4,FALSE)/1000000,"")</f>
        <v/>
      </c>
      <c r="Y30" s="8">
        <f>IFERROR('dataset- CAIF corriente'!Y32*VLOOKUP(constante!Y$1,ipc!$A:$D,4,FALSE)/1000000,"")</f>
        <v/>
      </c>
      <c r="Z30" s="8">
        <f>IFERROR('dataset- CAIF corriente'!Z32*VLOOKUP(constante!Z$1,ipc!$A:$D,4,FALSE)/1000000,"")</f>
        <v/>
      </c>
      <c r="AA30" s="8">
        <f>IFERROR('dataset- CAIF corriente'!AA32*VLOOKUP(constante!AA$1,ipc!$A:$D,4,FALSE)/1000000,"")</f>
        <v/>
      </c>
      <c r="AB30" s="8">
        <f>IFERROR('dataset- CAIF corriente'!AB32*VLOOKUP(constante!AB$1,ipc!$A:$D,4,FALSE)/1000000,"")</f>
        <v/>
      </c>
      <c r="AC30" s="8">
        <f>IFERROR('dataset- CAIF corriente'!AC32*VLOOKUP(constante!AC$1,ipc!$A:$D,4,FALSE)/1000000,"")</f>
        <v/>
      </c>
      <c r="AD30" s="8">
        <f>IFERROR('dataset- CAIF corriente'!AD32*VLOOKUP(constante!AD$1,ipc!$A:$D,4,FALSE)/1000000,"")</f>
        <v/>
      </c>
      <c r="AE30" s="8">
        <f>IFERROR('dataset- CAIF corriente'!AE32*VLOOKUP(constante!AE$1,ipc!$A:$D,4,FALSE)/1000000,"")</f>
        <v/>
      </c>
      <c r="AF30">
        <f>IFERROR('dataset- CAIF corriente'!AF32*VLOOKUP(constante!AF$1,ipc!$A:$D,4,FALSE)/1000000,"")</f>
        <v/>
      </c>
      <c r="AG30">
        <f>IFERROR('dataset- CAIF corriente'!AG32*VLOOKUP(constante!AG$1,ipc!$A:$D,4,FALSE)/1000000,"")</f>
        <v/>
      </c>
    </row>
    <row r="31">
      <c r="A31" s="7" t="inlineStr">
        <is>
          <t>14) Resultado financiero (11+12-13)</t>
        </is>
      </c>
      <c r="B31" s="8">
        <f>IFERROR('dataset- CAIF corriente'!B33*VLOOKUP(constante!B$1,ipc!$A:$D,4,FALSE)/1000000,"")</f>
        <v/>
      </c>
      <c r="C31" s="8">
        <f>IFERROR('dataset- CAIF corriente'!C33*VLOOKUP(constante!C$1,ipc!$A:$D,4,FALSE)/1000000,"")</f>
        <v/>
      </c>
      <c r="D31" s="8">
        <f>IFERROR('dataset- CAIF corriente'!D33*VLOOKUP(constante!D$1,ipc!$A:$D,4,FALSE)/1000000,"")</f>
        <v/>
      </c>
      <c r="E31" s="8">
        <f>IFERROR('dataset- CAIF corriente'!E33*VLOOKUP(constante!E$1,ipc!$A:$D,4,FALSE)/1000000,"")</f>
        <v/>
      </c>
      <c r="F31" s="8">
        <f>IFERROR('dataset- CAIF corriente'!F33*VLOOKUP(constante!F$1,ipc!$A:$D,4,FALSE)/1000000,"")</f>
        <v/>
      </c>
      <c r="G31" s="8">
        <f>IFERROR('dataset- CAIF corriente'!G33*VLOOKUP(constante!G$1,ipc!$A:$D,4,FALSE)/1000000,"")</f>
        <v/>
      </c>
      <c r="H31" s="8">
        <f>IFERROR('dataset- CAIF corriente'!H33*VLOOKUP(constante!H$1,ipc!$A:$D,4,FALSE)/1000000,"")</f>
        <v/>
      </c>
      <c r="I31" s="8">
        <f>IFERROR('dataset- CAIF corriente'!I33*VLOOKUP(constante!I$1,ipc!$A:$D,4,FALSE)/1000000,"")</f>
        <v/>
      </c>
      <c r="J31" s="8">
        <f>IFERROR('dataset- CAIF corriente'!J33*VLOOKUP(constante!J$1,ipc!$A:$D,4,FALSE)/1000000,"")</f>
        <v/>
      </c>
      <c r="K31" s="8">
        <f>IFERROR('dataset- CAIF corriente'!K33*VLOOKUP(constante!K$1,ipc!$A:$D,4,FALSE)/1000000,"")</f>
        <v/>
      </c>
      <c r="L31" s="8">
        <f>IFERROR('dataset- CAIF corriente'!L33*VLOOKUP(constante!L$1,ipc!$A:$D,4,FALSE)/1000000,"")</f>
        <v/>
      </c>
      <c r="M31" s="8">
        <f>IFERROR('dataset- CAIF corriente'!M33*VLOOKUP(constante!M$1,ipc!$A:$D,4,FALSE)/1000000,"")</f>
        <v/>
      </c>
      <c r="N31" s="8">
        <f>IFERROR('dataset- CAIF corriente'!N33*VLOOKUP(constante!N$1,ipc!$A:$D,4,FALSE)/1000000,"")</f>
        <v/>
      </c>
      <c r="O31" s="8">
        <f>IFERROR('dataset- CAIF corriente'!O33*VLOOKUP(constante!O$1,ipc!$A:$D,4,FALSE)/1000000,"")</f>
        <v/>
      </c>
      <c r="P31" s="8">
        <f>IFERROR('dataset- CAIF corriente'!P33*VLOOKUP(constante!P$1,ipc!$A:$D,4,FALSE)/1000000,"")</f>
        <v/>
      </c>
      <c r="Q31" s="8">
        <f>IFERROR('dataset- CAIF corriente'!Q33*VLOOKUP(constante!Q$1,ipc!$A:$D,4,FALSE)/1000000,"")</f>
        <v/>
      </c>
      <c r="R31" s="8">
        <f>IFERROR('dataset- CAIF corriente'!R33*VLOOKUP(constante!R$1,ipc!$A:$D,4,FALSE)/1000000,"")</f>
        <v/>
      </c>
      <c r="S31" s="8">
        <f>IFERROR('dataset- CAIF corriente'!S33*VLOOKUP(constante!S$1,ipc!$A:$D,4,FALSE)/1000000,"")</f>
        <v/>
      </c>
      <c r="T31" s="8">
        <f>IFERROR('dataset- CAIF corriente'!T33*VLOOKUP(constante!T$1,ipc!$A:$D,4,FALSE)/1000000,"")</f>
        <v/>
      </c>
      <c r="U31" s="8">
        <f>IFERROR('dataset- CAIF corriente'!U33*VLOOKUP(constante!U$1,ipc!$A:$D,4,FALSE)/1000000,"")</f>
        <v/>
      </c>
      <c r="V31" s="8">
        <f>IFERROR('dataset- CAIF corriente'!V33*VLOOKUP(constante!V$1,ipc!$A:$D,4,FALSE)/1000000,"")</f>
        <v/>
      </c>
      <c r="W31" s="8">
        <f>IFERROR('dataset- CAIF corriente'!W33*VLOOKUP(constante!W$1,ipc!$A:$D,4,FALSE)/1000000,"")</f>
        <v/>
      </c>
      <c r="X31" s="8">
        <f>IFERROR('dataset- CAIF corriente'!X33*VLOOKUP(constante!X$1,ipc!$A:$D,4,FALSE)/1000000,"")</f>
        <v/>
      </c>
      <c r="Y31" s="8">
        <f>IFERROR('dataset- CAIF corriente'!Y33*VLOOKUP(constante!Y$1,ipc!$A:$D,4,FALSE)/1000000,"")</f>
        <v/>
      </c>
      <c r="Z31" s="8">
        <f>IFERROR('dataset- CAIF corriente'!Z33*VLOOKUP(constante!Z$1,ipc!$A:$D,4,FALSE)/1000000,"")</f>
        <v/>
      </c>
      <c r="AA31" s="8">
        <f>IFERROR('dataset- CAIF corriente'!AA33*VLOOKUP(constante!AA$1,ipc!$A:$D,4,FALSE)/1000000,"")</f>
        <v/>
      </c>
      <c r="AB31" s="8">
        <f>IFERROR('dataset- CAIF corriente'!AB33*VLOOKUP(constante!AB$1,ipc!$A:$D,4,FALSE)/1000000,"")</f>
        <v/>
      </c>
      <c r="AC31" s="8">
        <f>IFERROR('dataset- CAIF corriente'!AC33*VLOOKUP(constante!AC$1,ipc!$A:$D,4,FALSE)/1000000,"")</f>
        <v/>
      </c>
      <c r="AD31" s="8">
        <f>IFERROR('dataset- CAIF corriente'!AD33*VLOOKUP(constante!AD$1,ipc!$A:$D,4,FALSE)/1000000,"")</f>
        <v/>
      </c>
      <c r="AE31" s="8">
        <f>IFERROR('dataset- CAIF corriente'!AE33*VLOOKUP(constante!AE$1,ipc!$A:$D,4,FALSE)/1000000,"")</f>
        <v/>
      </c>
      <c r="AF31">
        <f>IFERROR('dataset- CAIF corriente'!AF33*VLOOKUP(constante!AF$1,ipc!$A:$D,4,FALSE)/1000000,"")</f>
        <v/>
      </c>
      <c r="AG31">
        <f>IFERROR('dataset- CAIF corriente'!AG33*VLOOKUP(constante!AG$1,ipc!$A:$D,4,FALSE)/1000000,"")</f>
        <v/>
      </c>
    </row>
    <row r="32">
      <c r="A32" s="7" t="inlineStr">
        <is>
          <t>15) Fuentes financieras</t>
        </is>
      </c>
      <c r="B32" s="8">
        <f>IFERROR('dataset- CAIF corriente'!B34*VLOOKUP(constante!B$1,ipc!$A:$D,4,FALSE)/1000000,"")</f>
        <v/>
      </c>
      <c r="C32" s="8">
        <f>IFERROR('dataset- CAIF corriente'!C34*VLOOKUP(constante!C$1,ipc!$A:$D,4,FALSE)/1000000,"")</f>
        <v/>
      </c>
      <c r="D32" s="8">
        <f>IFERROR('dataset- CAIF corriente'!D34*VLOOKUP(constante!D$1,ipc!$A:$D,4,FALSE)/1000000,"")</f>
        <v/>
      </c>
      <c r="E32" s="8">
        <f>IFERROR('dataset- CAIF corriente'!E34*VLOOKUP(constante!E$1,ipc!$A:$D,4,FALSE)/1000000,"")</f>
        <v/>
      </c>
      <c r="F32" s="8">
        <f>IFERROR('dataset- CAIF corriente'!F34*VLOOKUP(constante!F$1,ipc!$A:$D,4,FALSE)/1000000,"")</f>
        <v/>
      </c>
      <c r="G32" s="8">
        <f>IFERROR('dataset- CAIF corriente'!G34*VLOOKUP(constante!G$1,ipc!$A:$D,4,FALSE)/1000000,"")</f>
        <v/>
      </c>
      <c r="H32" s="8">
        <f>IFERROR('dataset- CAIF corriente'!H34*VLOOKUP(constante!H$1,ipc!$A:$D,4,FALSE)/1000000,"")</f>
        <v/>
      </c>
      <c r="I32" s="8">
        <f>IFERROR('dataset- CAIF corriente'!I34*VLOOKUP(constante!I$1,ipc!$A:$D,4,FALSE)/1000000,"")</f>
        <v/>
      </c>
      <c r="J32" s="8">
        <f>IFERROR('dataset- CAIF corriente'!J34*VLOOKUP(constante!J$1,ipc!$A:$D,4,FALSE)/1000000,"")</f>
        <v/>
      </c>
      <c r="K32" s="8">
        <f>IFERROR('dataset- CAIF corriente'!K34*VLOOKUP(constante!K$1,ipc!$A:$D,4,FALSE)/1000000,"")</f>
        <v/>
      </c>
      <c r="L32" s="8">
        <f>IFERROR('dataset- CAIF corriente'!L34*VLOOKUP(constante!L$1,ipc!$A:$D,4,FALSE)/1000000,"")</f>
        <v/>
      </c>
      <c r="M32" s="8">
        <f>IFERROR('dataset- CAIF corriente'!M34*VLOOKUP(constante!M$1,ipc!$A:$D,4,FALSE)/1000000,"")</f>
        <v/>
      </c>
      <c r="N32" s="8">
        <f>IFERROR('dataset- CAIF corriente'!N34*VLOOKUP(constante!N$1,ipc!$A:$D,4,FALSE)/1000000,"")</f>
        <v/>
      </c>
      <c r="O32" s="8">
        <f>IFERROR('dataset- CAIF corriente'!O34*VLOOKUP(constante!O$1,ipc!$A:$D,4,FALSE)/1000000,"")</f>
        <v/>
      </c>
      <c r="P32" s="8">
        <f>IFERROR('dataset- CAIF corriente'!P34*VLOOKUP(constante!P$1,ipc!$A:$D,4,FALSE)/1000000,"")</f>
        <v/>
      </c>
      <c r="Q32" s="8">
        <f>IFERROR('dataset- CAIF corriente'!Q34*VLOOKUP(constante!Q$1,ipc!$A:$D,4,FALSE)/1000000,"")</f>
        <v/>
      </c>
      <c r="R32" s="8">
        <f>IFERROR('dataset- CAIF corriente'!R34*VLOOKUP(constante!R$1,ipc!$A:$D,4,FALSE)/1000000,"")</f>
        <v/>
      </c>
      <c r="S32" s="8">
        <f>IFERROR('dataset- CAIF corriente'!S34*VLOOKUP(constante!S$1,ipc!$A:$D,4,FALSE)/1000000,"")</f>
        <v/>
      </c>
      <c r="T32" s="8">
        <f>IFERROR('dataset- CAIF corriente'!T34*VLOOKUP(constante!T$1,ipc!$A:$D,4,FALSE)/1000000,"")</f>
        <v/>
      </c>
      <c r="U32" s="8">
        <f>IFERROR('dataset- CAIF corriente'!U34*VLOOKUP(constante!U$1,ipc!$A:$D,4,FALSE)/1000000,"")</f>
        <v/>
      </c>
      <c r="V32" s="8">
        <f>IFERROR('dataset- CAIF corriente'!V34*VLOOKUP(constante!V$1,ipc!$A:$D,4,FALSE)/1000000,"")</f>
        <v/>
      </c>
      <c r="W32" s="8">
        <f>IFERROR('dataset- CAIF corriente'!W34*VLOOKUP(constante!W$1,ipc!$A:$D,4,FALSE)/1000000,"")</f>
        <v/>
      </c>
      <c r="X32" s="8">
        <f>IFERROR('dataset- CAIF corriente'!X34*VLOOKUP(constante!X$1,ipc!$A:$D,4,FALSE)/1000000,"")</f>
        <v/>
      </c>
      <c r="Y32" s="8">
        <f>IFERROR('dataset- CAIF corriente'!Y34*VLOOKUP(constante!Y$1,ipc!$A:$D,4,FALSE)/1000000,"")</f>
        <v/>
      </c>
      <c r="Z32" s="8">
        <f>IFERROR('dataset- CAIF corriente'!Z34*VLOOKUP(constante!Z$1,ipc!$A:$D,4,FALSE)/1000000,"")</f>
        <v/>
      </c>
      <c r="AA32" s="8">
        <f>IFERROR('dataset- CAIF corriente'!AA34*VLOOKUP(constante!AA$1,ipc!$A:$D,4,FALSE)/1000000,"")</f>
        <v/>
      </c>
      <c r="AB32" s="8">
        <f>IFERROR('dataset- CAIF corriente'!AB34*VLOOKUP(constante!AB$1,ipc!$A:$D,4,FALSE)/1000000,"")</f>
        <v/>
      </c>
      <c r="AC32" s="8">
        <f>IFERROR('dataset- CAIF corriente'!AC34*VLOOKUP(constante!AC$1,ipc!$A:$D,4,FALSE)/1000000,"")</f>
        <v/>
      </c>
      <c r="AD32" s="8">
        <f>IFERROR('dataset- CAIF corriente'!AD34*VLOOKUP(constante!AD$1,ipc!$A:$D,4,FALSE)/1000000,"")</f>
        <v/>
      </c>
      <c r="AE32" s="8">
        <f>IFERROR('dataset- CAIF corriente'!AE34*VLOOKUP(constante!AE$1,ipc!$A:$D,4,FALSE)/1000000,"")</f>
        <v/>
      </c>
      <c r="AF32">
        <f>IFERROR('dataset- CAIF corriente'!AF34*VLOOKUP(constante!AF$1,ipc!$A:$D,4,FALSE)/1000000,"")</f>
        <v/>
      </c>
      <c r="AG32">
        <f>IFERROR('dataset- CAIF corriente'!AG34*VLOOKUP(constante!AG$1,ipc!$A:$D,4,FALSE)/1000000,"")</f>
        <v/>
      </c>
    </row>
    <row r="33">
      <c r="A33" s="9" t="inlineStr">
        <is>
          <t>Disminución de la inversión financiera</t>
        </is>
      </c>
      <c r="B33" s="10">
        <f>IFERROR('dataset- CAIF corriente'!B35*VLOOKUP(constante!B$1,ipc!$A:$D,4,FALSE)/1000000,"")</f>
        <v/>
      </c>
      <c r="C33" s="10">
        <f>IFERROR('dataset- CAIF corriente'!C35*VLOOKUP(constante!C$1,ipc!$A:$D,4,FALSE)/1000000,"")</f>
        <v/>
      </c>
      <c r="D33" s="10">
        <f>IFERROR('dataset- CAIF corriente'!D35*VLOOKUP(constante!D$1,ipc!$A:$D,4,FALSE)/1000000,"")</f>
        <v/>
      </c>
      <c r="E33" s="10">
        <f>IFERROR('dataset- CAIF corriente'!E35*VLOOKUP(constante!E$1,ipc!$A:$D,4,FALSE)/1000000,"")</f>
        <v/>
      </c>
      <c r="F33" s="10">
        <f>IFERROR('dataset- CAIF corriente'!F35*VLOOKUP(constante!F$1,ipc!$A:$D,4,FALSE)/1000000,"")</f>
        <v/>
      </c>
      <c r="G33" s="10">
        <f>IFERROR('dataset- CAIF corriente'!G35*VLOOKUP(constante!G$1,ipc!$A:$D,4,FALSE)/1000000,"")</f>
        <v/>
      </c>
      <c r="H33" s="10">
        <f>IFERROR('dataset- CAIF corriente'!H35*VLOOKUP(constante!H$1,ipc!$A:$D,4,FALSE)/1000000,"")</f>
        <v/>
      </c>
      <c r="I33" s="10">
        <f>IFERROR('dataset- CAIF corriente'!I35*VLOOKUP(constante!I$1,ipc!$A:$D,4,FALSE)/1000000,"")</f>
        <v/>
      </c>
      <c r="J33" s="10">
        <f>IFERROR('dataset- CAIF corriente'!J35*VLOOKUP(constante!J$1,ipc!$A:$D,4,FALSE)/1000000,"")</f>
        <v/>
      </c>
      <c r="K33" s="10">
        <f>IFERROR('dataset- CAIF corriente'!K35*VLOOKUP(constante!K$1,ipc!$A:$D,4,FALSE)/1000000,"")</f>
        <v/>
      </c>
      <c r="L33" s="10">
        <f>IFERROR('dataset- CAIF corriente'!L35*VLOOKUP(constante!L$1,ipc!$A:$D,4,FALSE)/1000000,"")</f>
        <v/>
      </c>
      <c r="M33" s="10">
        <f>IFERROR('dataset- CAIF corriente'!M35*VLOOKUP(constante!M$1,ipc!$A:$D,4,FALSE)/1000000,"")</f>
        <v/>
      </c>
      <c r="N33" s="10">
        <f>IFERROR('dataset- CAIF corriente'!N35*VLOOKUP(constante!N$1,ipc!$A:$D,4,FALSE)/1000000,"")</f>
        <v/>
      </c>
      <c r="O33" s="10">
        <f>IFERROR('dataset- CAIF corriente'!O35*VLOOKUP(constante!O$1,ipc!$A:$D,4,FALSE)/1000000,"")</f>
        <v/>
      </c>
      <c r="P33" s="10">
        <f>IFERROR('dataset- CAIF corriente'!P35*VLOOKUP(constante!P$1,ipc!$A:$D,4,FALSE)/1000000,"")</f>
        <v/>
      </c>
      <c r="Q33" s="10">
        <f>IFERROR('dataset- CAIF corriente'!Q35*VLOOKUP(constante!Q$1,ipc!$A:$D,4,FALSE)/1000000,"")</f>
        <v/>
      </c>
      <c r="R33" s="10">
        <f>IFERROR('dataset- CAIF corriente'!R35*VLOOKUP(constante!R$1,ipc!$A:$D,4,FALSE)/1000000,"")</f>
        <v/>
      </c>
      <c r="S33" s="10">
        <f>IFERROR('dataset- CAIF corriente'!S35*VLOOKUP(constante!S$1,ipc!$A:$D,4,FALSE)/1000000,"")</f>
        <v/>
      </c>
      <c r="T33" s="10">
        <f>IFERROR('dataset- CAIF corriente'!T35*VLOOKUP(constante!T$1,ipc!$A:$D,4,FALSE)/1000000,"")</f>
        <v/>
      </c>
      <c r="U33" s="10">
        <f>IFERROR('dataset- CAIF corriente'!U35*VLOOKUP(constante!U$1,ipc!$A:$D,4,FALSE)/1000000,"")</f>
        <v/>
      </c>
      <c r="V33" s="10">
        <f>IFERROR('dataset- CAIF corriente'!V35*VLOOKUP(constante!V$1,ipc!$A:$D,4,FALSE)/1000000,"")</f>
        <v/>
      </c>
      <c r="W33" s="10">
        <f>IFERROR('dataset- CAIF corriente'!W35*VLOOKUP(constante!W$1,ipc!$A:$D,4,FALSE)/1000000,"")</f>
        <v/>
      </c>
      <c r="X33" s="10">
        <f>IFERROR('dataset- CAIF corriente'!X35*VLOOKUP(constante!X$1,ipc!$A:$D,4,FALSE)/1000000,"")</f>
        <v/>
      </c>
      <c r="Y33" s="10">
        <f>IFERROR('dataset- CAIF corriente'!Y35*VLOOKUP(constante!Y$1,ipc!$A:$D,4,FALSE)/1000000,"")</f>
        <v/>
      </c>
      <c r="Z33" s="10">
        <f>IFERROR('dataset- CAIF corriente'!Z35*VLOOKUP(constante!Z$1,ipc!$A:$D,4,FALSE)/1000000,"")</f>
        <v/>
      </c>
      <c r="AA33" s="10">
        <f>IFERROR('dataset- CAIF corriente'!AA35*VLOOKUP(constante!AA$1,ipc!$A:$D,4,FALSE)/1000000,"")</f>
        <v/>
      </c>
      <c r="AB33" s="10">
        <f>IFERROR('dataset- CAIF corriente'!AB35*VLOOKUP(constante!AB$1,ipc!$A:$D,4,FALSE)/1000000,"")</f>
        <v/>
      </c>
      <c r="AC33" s="10">
        <f>IFERROR('dataset- CAIF corriente'!AC35*VLOOKUP(constante!AC$1,ipc!$A:$D,4,FALSE)/1000000,"")</f>
        <v/>
      </c>
      <c r="AD33" s="10">
        <f>IFERROR('dataset- CAIF corriente'!AD35*VLOOKUP(constante!AD$1,ipc!$A:$D,4,FALSE)/1000000,"")</f>
        <v/>
      </c>
      <c r="AE33" s="10">
        <f>IFERROR('dataset- CAIF corriente'!AE35*VLOOKUP(constante!AE$1,ipc!$A:$D,4,FALSE)/1000000,"")</f>
        <v/>
      </c>
      <c r="AF33">
        <f>IFERROR('dataset- CAIF corriente'!AF35*VLOOKUP(constante!AF$1,ipc!$A:$D,4,FALSE)/1000000,"")</f>
        <v/>
      </c>
      <c r="AG33">
        <f>IFERROR('dataset- CAIF corriente'!AG35*VLOOKUP(constante!AG$1,ipc!$A:$D,4,FALSE)/1000000,"")</f>
        <v/>
      </c>
    </row>
    <row r="34">
      <c r="A34" s="9" t="inlineStr">
        <is>
          <t>Endeudamiento público e incremento de otros pasivos</t>
        </is>
      </c>
      <c r="B34" s="10">
        <f>IFERROR('dataset- CAIF corriente'!B36*VLOOKUP(constante!B$1,ipc!$A:$D,4,FALSE)/1000000,"")</f>
        <v/>
      </c>
      <c r="C34" s="10">
        <f>IFERROR('dataset- CAIF corriente'!C36*VLOOKUP(constante!C$1,ipc!$A:$D,4,FALSE)/1000000,"")</f>
        <v/>
      </c>
      <c r="D34" s="10">
        <f>IFERROR('dataset- CAIF corriente'!D36*VLOOKUP(constante!D$1,ipc!$A:$D,4,FALSE)/1000000,"")</f>
        <v/>
      </c>
      <c r="E34" s="10">
        <f>IFERROR('dataset- CAIF corriente'!E36*VLOOKUP(constante!E$1,ipc!$A:$D,4,FALSE)/1000000,"")</f>
        <v/>
      </c>
      <c r="F34" s="10">
        <f>IFERROR('dataset- CAIF corriente'!F36*VLOOKUP(constante!F$1,ipc!$A:$D,4,FALSE)/1000000,"")</f>
        <v/>
      </c>
      <c r="G34" s="10">
        <f>IFERROR('dataset- CAIF corriente'!G36*VLOOKUP(constante!G$1,ipc!$A:$D,4,FALSE)/1000000,"")</f>
        <v/>
      </c>
      <c r="H34" s="10">
        <f>IFERROR('dataset- CAIF corriente'!H36*VLOOKUP(constante!H$1,ipc!$A:$D,4,FALSE)/1000000,"")</f>
        <v/>
      </c>
      <c r="I34" s="10">
        <f>IFERROR('dataset- CAIF corriente'!I36*VLOOKUP(constante!I$1,ipc!$A:$D,4,FALSE)/1000000,"")</f>
        <v/>
      </c>
      <c r="J34" s="10">
        <f>IFERROR('dataset- CAIF corriente'!J36*VLOOKUP(constante!J$1,ipc!$A:$D,4,FALSE)/1000000,"")</f>
        <v/>
      </c>
      <c r="K34" s="10">
        <f>IFERROR('dataset- CAIF corriente'!K36*VLOOKUP(constante!K$1,ipc!$A:$D,4,FALSE)/1000000,"")</f>
        <v/>
      </c>
      <c r="L34" s="10">
        <f>IFERROR('dataset- CAIF corriente'!L36*VLOOKUP(constante!L$1,ipc!$A:$D,4,FALSE)/1000000,"")</f>
        <v/>
      </c>
      <c r="M34" s="10">
        <f>IFERROR('dataset- CAIF corriente'!M36*VLOOKUP(constante!M$1,ipc!$A:$D,4,FALSE)/1000000,"")</f>
        <v/>
      </c>
      <c r="N34" s="10">
        <f>IFERROR('dataset- CAIF corriente'!N36*VLOOKUP(constante!N$1,ipc!$A:$D,4,FALSE)/1000000,"")</f>
        <v/>
      </c>
      <c r="O34" s="10">
        <f>IFERROR('dataset- CAIF corriente'!O36*VLOOKUP(constante!O$1,ipc!$A:$D,4,FALSE)/1000000,"")</f>
        <v/>
      </c>
      <c r="P34" s="10">
        <f>IFERROR('dataset- CAIF corriente'!P36*VLOOKUP(constante!P$1,ipc!$A:$D,4,FALSE)/1000000,"")</f>
        <v/>
      </c>
      <c r="Q34" s="10">
        <f>IFERROR('dataset- CAIF corriente'!Q36*VLOOKUP(constante!Q$1,ipc!$A:$D,4,FALSE)/1000000,"")</f>
        <v/>
      </c>
      <c r="R34" s="10">
        <f>IFERROR('dataset- CAIF corriente'!R36*VLOOKUP(constante!R$1,ipc!$A:$D,4,FALSE)/1000000,"")</f>
        <v/>
      </c>
      <c r="S34" s="10">
        <f>IFERROR('dataset- CAIF corriente'!S36*VLOOKUP(constante!S$1,ipc!$A:$D,4,FALSE)/1000000,"")</f>
        <v/>
      </c>
      <c r="T34" s="10">
        <f>IFERROR('dataset- CAIF corriente'!T36*VLOOKUP(constante!T$1,ipc!$A:$D,4,FALSE)/1000000,"")</f>
        <v/>
      </c>
      <c r="U34" s="10">
        <f>IFERROR('dataset- CAIF corriente'!U36*VLOOKUP(constante!U$1,ipc!$A:$D,4,FALSE)/1000000,"")</f>
        <v/>
      </c>
      <c r="V34" s="10">
        <f>IFERROR('dataset- CAIF corriente'!V36*VLOOKUP(constante!V$1,ipc!$A:$D,4,FALSE)/1000000,"")</f>
        <v/>
      </c>
      <c r="W34" s="10">
        <f>IFERROR('dataset- CAIF corriente'!W36*VLOOKUP(constante!W$1,ipc!$A:$D,4,FALSE)/1000000,"")</f>
        <v/>
      </c>
      <c r="X34" s="10">
        <f>IFERROR('dataset- CAIF corriente'!X36*VLOOKUP(constante!X$1,ipc!$A:$D,4,FALSE)/1000000,"")</f>
        <v/>
      </c>
      <c r="Y34" s="10">
        <f>IFERROR('dataset- CAIF corriente'!Y36*VLOOKUP(constante!Y$1,ipc!$A:$D,4,FALSE)/1000000,"")</f>
        <v/>
      </c>
      <c r="Z34" s="10">
        <f>IFERROR('dataset- CAIF corriente'!Z36*VLOOKUP(constante!Z$1,ipc!$A:$D,4,FALSE)/1000000,"")</f>
        <v/>
      </c>
      <c r="AA34" s="10">
        <f>IFERROR('dataset- CAIF corriente'!AA36*VLOOKUP(constante!AA$1,ipc!$A:$D,4,FALSE)/1000000,"")</f>
        <v/>
      </c>
      <c r="AB34" s="10">
        <f>IFERROR('dataset- CAIF corriente'!AB36*VLOOKUP(constante!AB$1,ipc!$A:$D,4,FALSE)/1000000,"")</f>
        <v/>
      </c>
      <c r="AC34" s="10">
        <f>IFERROR('dataset- CAIF corriente'!AC36*VLOOKUP(constante!AC$1,ipc!$A:$D,4,FALSE)/1000000,"")</f>
        <v/>
      </c>
      <c r="AD34" s="10">
        <f>IFERROR('dataset- CAIF corriente'!AD36*VLOOKUP(constante!AD$1,ipc!$A:$D,4,FALSE)/1000000,"")</f>
        <v/>
      </c>
      <c r="AE34" s="10">
        <f>IFERROR('dataset- CAIF corriente'!AE36*VLOOKUP(constante!AE$1,ipc!$A:$D,4,FALSE)/1000000,"")</f>
        <v/>
      </c>
      <c r="AF34">
        <f>IFERROR('dataset- CAIF corriente'!AF36*VLOOKUP(constante!AF$1,ipc!$A:$D,4,FALSE)/1000000,"")</f>
        <v/>
      </c>
      <c r="AG34">
        <f>IFERROR('dataset- CAIF corriente'!AG36*VLOOKUP(constante!AG$1,ipc!$A:$D,4,FALSE)/1000000,"")</f>
        <v/>
      </c>
    </row>
    <row r="35">
      <c r="A35" s="9" t="inlineStr">
        <is>
          <t>Ingresos no presupuestarios</t>
        </is>
      </c>
      <c r="B35" s="10">
        <f>IFERROR('dataset- CAIF corriente'!B37*VLOOKUP(constante!B$1,ipc!$A:$D,4,FALSE)/1000000,"")</f>
        <v/>
      </c>
      <c r="C35" s="10">
        <f>IFERROR('dataset- CAIF corriente'!C37*VLOOKUP(constante!C$1,ipc!$A:$D,4,FALSE)/1000000,"")</f>
        <v/>
      </c>
      <c r="D35" s="10">
        <f>IFERROR('dataset- CAIF corriente'!D37*VLOOKUP(constante!D$1,ipc!$A:$D,4,FALSE)/1000000,"")</f>
        <v/>
      </c>
      <c r="E35" s="10">
        <f>IFERROR('dataset- CAIF corriente'!E37*VLOOKUP(constante!E$1,ipc!$A:$D,4,FALSE)/1000000,"")</f>
        <v/>
      </c>
      <c r="F35" s="10">
        <f>IFERROR('dataset- CAIF corriente'!F37*VLOOKUP(constante!F$1,ipc!$A:$D,4,FALSE)/1000000,"")</f>
        <v/>
      </c>
      <c r="G35" s="10">
        <f>IFERROR('dataset- CAIF corriente'!G37*VLOOKUP(constante!G$1,ipc!$A:$D,4,FALSE)/1000000,"")</f>
        <v/>
      </c>
      <c r="H35" s="10">
        <f>IFERROR('dataset- CAIF corriente'!H37*VLOOKUP(constante!H$1,ipc!$A:$D,4,FALSE)/1000000,"")</f>
        <v/>
      </c>
      <c r="I35" s="10">
        <f>IFERROR('dataset- CAIF corriente'!I37*VLOOKUP(constante!I$1,ipc!$A:$D,4,FALSE)/1000000,"")</f>
        <v/>
      </c>
      <c r="J35" s="10">
        <f>IFERROR('dataset- CAIF corriente'!J37*VLOOKUP(constante!J$1,ipc!$A:$D,4,FALSE)/1000000,"")</f>
        <v/>
      </c>
      <c r="K35" s="10">
        <f>IFERROR('dataset- CAIF corriente'!K37*VLOOKUP(constante!K$1,ipc!$A:$D,4,FALSE)/1000000,"")</f>
        <v/>
      </c>
      <c r="L35" s="10">
        <f>IFERROR('dataset- CAIF corriente'!L37*VLOOKUP(constante!L$1,ipc!$A:$D,4,FALSE)/1000000,"")</f>
        <v/>
      </c>
      <c r="M35" s="10">
        <f>IFERROR('dataset- CAIF corriente'!M37*VLOOKUP(constante!M$1,ipc!$A:$D,4,FALSE)/1000000,"")</f>
        <v/>
      </c>
      <c r="N35" s="10">
        <f>IFERROR('dataset- CAIF corriente'!N37*VLOOKUP(constante!N$1,ipc!$A:$D,4,FALSE)/1000000,"")</f>
        <v/>
      </c>
      <c r="O35" s="10">
        <f>IFERROR('dataset- CAIF corriente'!O37*VLOOKUP(constante!O$1,ipc!$A:$D,4,FALSE)/1000000,"")</f>
        <v/>
      </c>
      <c r="P35" s="10">
        <f>IFERROR('dataset- CAIF corriente'!P37*VLOOKUP(constante!P$1,ipc!$A:$D,4,FALSE)/1000000,"")</f>
        <v/>
      </c>
      <c r="Q35" s="10">
        <f>IFERROR('dataset- CAIF corriente'!Q37*VLOOKUP(constante!Q$1,ipc!$A:$D,4,FALSE)/1000000,"")</f>
        <v/>
      </c>
      <c r="R35" s="10">
        <f>IFERROR('dataset- CAIF corriente'!R37*VLOOKUP(constante!R$1,ipc!$A:$D,4,FALSE)/1000000,"")</f>
        <v/>
      </c>
      <c r="S35" s="10">
        <f>IFERROR('dataset- CAIF corriente'!S37*VLOOKUP(constante!S$1,ipc!$A:$D,4,FALSE)/1000000,"")</f>
        <v/>
      </c>
      <c r="T35" s="10">
        <f>IFERROR('dataset- CAIF corriente'!T37*VLOOKUP(constante!T$1,ipc!$A:$D,4,FALSE)/1000000,"")</f>
        <v/>
      </c>
      <c r="U35" s="10">
        <f>IFERROR('dataset- CAIF corriente'!U37*VLOOKUP(constante!U$1,ipc!$A:$D,4,FALSE)/1000000,"")</f>
        <v/>
      </c>
      <c r="V35" s="10">
        <f>IFERROR('dataset- CAIF corriente'!V37*VLOOKUP(constante!V$1,ipc!$A:$D,4,FALSE)/1000000,"")</f>
        <v/>
      </c>
      <c r="W35" s="10">
        <f>IFERROR('dataset- CAIF corriente'!W37*VLOOKUP(constante!W$1,ipc!$A:$D,4,FALSE)/1000000,"")</f>
        <v/>
      </c>
      <c r="X35" s="10">
        <f>IFERROR('dataset- CAIF corriente'!X37*VLOOKUP(constante!X$1,ipc!$A:$D,4,FALSE)/1000000,"")</f>
        <v/>
      </c>
      <c r="Y35" s="10">
        <f>IFERROR('dataset- CAIF corriente'!Y37*VLOOKUP(constante!Y$1,ipc!$A:$D,4,FALSE)/1000000,"")</f>
        <v/>
      </c>
      <c r="Z35" s="10">
        <f>IFERROR('dataset- CAIF corriente'!Z37*VLOOKUP(constante!Z$1,ipc!$A:$D,4,FALSE)/1000000,"")</f>
        <v/>
      </c>
      <c r="AA35" s="10">
        <f>IFERROR('dataset- CAIF corriente'!AA37*VLOOKUP(constante!AA$1,ipc!$A:$D,4,FALSE)/1000000,"")</f>
        <v/>
      </c>
      <c r="AB35" s="10">
        <f>IFERROR('dataset- CAIF corriente'!AB37*VLOOKUP(constante!AB$1,ipc!$A:$D,4,FALSE)/1000000,"")</f>
        <v/>
      </c>
      <c r="AC35" s="10">
        <f>IFERROR('dataset- CAIF corriente'!AC37*VLOOKUP(constante!AC$1,ipc!$A:$D,4,FALSE)/1000000,"")</f>
        <v/>
      </c>
      <c r="AD35" s="10">
        <f>IFERROR('dataset- CAIF corriente'!AD37*VLOOKUP(constante!AD$1,ipc!$A:$D,4,FALSE)/1000000,"")</f>
        <v/>
      </c>
      <c r="AE35" s="10">
        <f>IFERROR('dataset- CAIF corriente'!AE37*VLOOKUP(constante!AE$1,ipc!$A:$D,4,FALSE)/1000000,"")</f>
        <v/>
      </c>
      <c r="AF35">
        <f>IFERROR('dataset- CAIF corriente'!AF37*VLOOKUP(constante!AF$1,ipc!$A:$D,4,FALSE)/1000000,"")</f>
        <v/>
      </c>
      <c r="AG35">
        <f>IFERROR('dataset- CAIF corriente'!AG37*VLOOKUP(constante!AG$1,ipc!$A:$D,4,FALSE)/1000000,"")</f>
        <v/>
      </c>
    </row>
    <row r="36">
      <c r="A36" s="7" t="inlineStr">
        <is>
          <t>16) Aplicaciones financieras</t>
        </is>
      </c>
      <c r="B36" s="8">
        <f>IFERROR('dataset- CAIF corriente'!B38*VLOOKUP(constante!B$1,ipc!$A:$D,4,FALSE)/1000000,"")</f>
        <v/>
      </c>
      <c r="C36" s="8">
        <f>IFERROR('dataset- CAIF corriente'!C38*VLOOKUP(constante!C$1,ipc!$A:$D,4,FALSE)/1000000,"")</f>
        <v/>
      </c>
      <c r="D36" s="8">
        <f>IFERROR('dataset- CAIF corriente'!D38*VLOOKUP(constante!D$1,ipc!$A:$D,4,FALSE)/1000000,"")</f>
        <v/>
      </c>
      <c r="E36" s="8">
        <f>IFERROR('dataset- CAIF corriente'!E38*VLOOKUP(constante!E$1,ipc!$A:$D,4,FALSE)/1000000,"")</f>
        <v/>
      </c>
      <c r="F36" s="8">
        <f>IFERROR('dataset- CAIF corriente'!F38*VLOOKUP(constante!F$1,ipc!$A:$D,4,FALSE)/1000000,"")</f>
        <v/>
      </c>
      <c r="G36" s="8">
        <f>IFERROR('dataset- CAIF corriente'!G38*VLOOKUP(constante!G$1,ipc!$A:$D,4,FALSE)/1000000,"")</f>
        <v/>
      </c>
      <c r="H36" s="8">
        <f>IFERROR('dataset- CAIF corriente'!H38*VLOOKUP(constante!H$1,ipc!$A:$D,4,FALSE)/1000000,"")</f>
        <v/>
      </c>
      <c r="I36" s="8">
        <f>IFERROR('dataset- CAIF corriente'!I38*VLOOKUP(constante!I$1,ipc!$A:$D,4,FALSE)/1000000,"")</f>
        <v/>
      </c>
      <c r="J36" s="8">
        <f>IFERROR('dataset- CAIF corriente'!J38*VLOOKUP(constante!J$1,ipc!$A:$D,4,FALSE)/1000000,"")</f>
        <v/>
      </c>
      <c r="K36" s="8">
        <f>IFERROR('dataset- CAIF corriente'!K38*VLOOKUP(constante!K$1,ipc!$A:$D,4,FALSE)/1000000,"")</f>
        <v/>
      </c>
      <c r="L36" s="8">
        <f>IFERROR('dataset- CAIF corriente'!L38*VLOOKUP(constante!L$1,ipc!$A:$D,4,FALSE)/1000000,"")</f>
        <v/>
      </c>
      <c r="M36" s="8">
        <f>IFERROR('dataset- CAIF corriente'!M38*VLOOKUP(constante!M$1,ipc!$A:$D,4,FALSE)/1000000,"")</f>
        <v/>
      </c>
      <c r="N36" s="8">
        <f>IFERROR('dataset- CAIF corriente'!N38*VLOOKUP(constante!N$1,ipc!$A:$D,4,FALSE)/1000000,"")</f>
        <v/>
      </c>
      <c r="O36" s="8">
        <f>IFERROR('dataset- CAIF corriente'!O38*VLOOKUP(constante!O$1,ipc!$A:$D,4,FALSE)/1000000,"")</f>
        <v/>
      </c>
      <c r="P36" s="8">
        <f>IFERROR('dataset- CAIF corriente'!P38*VLOOKUP(constante!P$1,ipc!$A:$D,4,FALSE)/1000000,"")</f>
        <v/>
      </c>
      <c r="Q36" s="8">
        <f>IFERROR('dataset- CAIF corriente'!Q38*VLOOKUP(constante!Q$1,ipc!$A:$D,4,FALSE)/1000000,"")</f>
        <v/>
      </c>
      <c r="R36" s="8">
        <f>IFERROR('dataset- CAIF corriente'!R38*VLOOKUP(constante!R$1,ipc!$A:$D,4,FALSE)/1000000,"")</f>
        <v/>
      </c>
      <c r="S36" s="8">
        <f>IFERROR('dataset- CAIF corriente'!S38*VLOOKUP(constante!S$1,ipc!$A:$D,4,FALSE)/1000000,"")</f>
        <v/>
      </c>
      <c r="T36" s="8">
        <f>IFERROR('dataset- CAIF corriente'!T38*VLOOKUP(constante!T$1,ipc!$A:$D,4,FALSE)/1000000,"")</f>
        <v/>
      </c>
      <c r="U36" s="8">
        <f>IFERROR('dataset- CAIF corriente'!U38*VLOOKUP(constante!U$1,ipc!$A:$D,4,FALSE)/1000000,"")</f>
        <v/>
      </c>
      <c r="V36" s="8">
        <f>IFERROR('dataset- CAIF corriente'!V38*VLOOKUP(constante!V$1,ipc!$A:$D,4,FALSE)/1000000,"")</f>
        <v/>
      </c>
      <c r="W36" s="8">
        <f>IFERROR('dataset- CAIF corriente'!W38*VLOOKUP(constante!W$1,ipc!$A:$D,4,FALSE)/1000000,"")</f>
        <v/>
      </c>
      <c r="X36" s="8">
        <f>IFERROR('dataset- CAIF corriente'!X38*VLOOKUP(constante!X$1,ipc!$A:$D,4,FALSE)/1000000,"")</f>
        <v/>
      </c>
      <c r="Y36" s="8">
        <f>IFERROR('dataset- CAIF corriente'!Y38*VLOOKUP(constante!Y$1,ipc!$A:$D,4,FALSE)/1000000,"")</f>
        <v/>
      </c>
      <c r="Z36" s="8">
        <f>IFERROR('dataset- CAIF corriente'!Z38*VLOOKUP(constante!Z$1,ipc!$A:$D,4,FALSE)/1000000,"")</f>
        <v/>
      </c>
      <c r="AA36" s="8">
        <f>IFERROR('dataset- CAIF corriente'!AA38*VLOOKUP(constante!AA$1,ipc!$A:$D,4,FALSE)/1000000,"")</f>
        <v/>
      </c>
      <c r="AB36" s="8">
        <f>IFERROR('dataset- CAIF corriente'!AB38*VLOOKUP(constante!AB$1,ipc!$A:$D,4,FALSE)/1000000,"")</f>
        <v/>
      </c>
      <c r="AC36" s="8">
        <f>IFERROR('dataset- CAIF corriente'!AC38*VLOOKUP(constante!AC$1,ipc!$A:$D,4,FALSE)/1000000,"")</f>
        <v/>
      </c>
      <c r="AD36" s="8">
        <f>IFERROR('dataset- CAIF corriente'!AD38*VLOOKUP(constante!AD$1,ipc!$A:$D,4,FALSE)/1000000,"")</f>
        <v/>
      </c>
      <c r="AE36" s="8">
        <f>IFERROR('dataset- CAIF corriente'!AE38*VLOOKUP(constante!AE$1,ipc!$A:$D,4,FALSE)/1000000,"")</f>
        <v/>
      </c>
      <c r="AF36">
        <f>IFERROR('dataset- CAIF corriente'!AF38*VLOOKUP(constante!AF$1,ipc!$A:$D,4,FALSE)/1000000,"")</f>
        <v/>
      </c>
      <c r="AG36">
        <f>IFERROR('dataset- CAIF corriente'!AG38*VLOOKUP(constante!AG$1,ipc!$A:$D,4,FALSE)/1000000,"")</f>
        <v/>
      </c>
    </row>
    <row r="37">
      <c r="A37" s="9" t="inlineStr">
        <is>
          <t>Incremento de la inversión financiera</t>
        </is>
      </c>
      <c r="B37" s="10">
        <f>IFERROR('dataset- CAIF corriente'!B39*VLOOKUP(constante!B$1,ipc!$A:$D,4,FALSE)/1000000,"")</f>
        <v/>
      </c>
      <c r="C37" s="10">
        <f>IFERROR('dataset- CAIF corriente'!C39*VLOOKUP(constante!C$1,ipc!$A:$D,4,FALSE)/1000000,"")</f>
        <v/>
      </c>
      <c r="D37" s="10">
        <f>IFERROR('dataset- CAIF corriente'!D39*VLOOKUP(constante!D$1,ipc!$A:$D,4,FALSE)/1000000,"")</f>
        <v/>
      </c>
      <c r="E37" s="10">
        <f>IFERROR('dataset- CAIF corriente'!E39*VLOOKUP(constante!E$1,ipc!$A:$D,4,FALSE)/1000000,"")</f>
        <v/>
      </c>
      <c r="F37" s="10">
        <f>IFERROR('dataset- CAIF corriente'!F39*VLOOKUP(constante!F$1,ipc!$A:$D,4,FALSE)/1000000,"")</f>
        <v/>
      </c>
      <c r="G37" s="10">
        <f>IFERROR('dataset- CAIF corriente'!G39*VLOOKUP(constante!G$1,ipc!$A:$D,4,FALSE)/1000000,"")</f>
        <v/>
      </c>
      <c r="H37" s="10">
        <f>IFERROR('dataset- CAIF corriente'!H39*VLOOKUP(constante!H$1,ipc!$A:$D,4,FALSE)/1000000,"")</f>
        <v/>
      </c>
      <c r="I37" s="10">
        <f>IFERROR('dataset- CAIF corriente'!I39*VLOOKUP(constante!I$1,ipc!$A:$D,4,FALSE)/1000000,"")</f>
        <v/>
      </c>
      <c r="J37" s="10">
        <f>IFERROR('dataset- CAIF corriente'!J39*VLOOKUP(constante!J$1,ipc!$A:$D,4,FALSE)/1000000,"")</f>
        <v/>
      </c>
      <c r="K37" s="10">
        <f>IFERROR('dataset- CAIF corriente'!K39*VLOOKUP(constante!K$1,ipc!$A:$D,4,FALSE)/1000000,"")</f>
        <v/>
      </c>
      <c r="L37" s="10">
        <f>IFERROR('dataset- CAIF corriente'!L39*VLOOKUP(constante!L$1,ipc!$A:$D,4,FALSE)/1000000,"")</f>
        <v/>
      </c>
      <c r="M37" s="10">
        <f>IFERROR('dataset- CAIF corriente'!M39*VLOOKUP(constante!M$1,ipc!$A:$D,4,FALSE)/1000000,"")</f>
        <v/>
      </c>
      <c r="N37" s="10">
        <f>IFERROR('dataset- CAIF corriente'!N39*VLOOKUP(constante!N$1,ipc!$A:$D,4,FALSE)/1000000,"")</f>
        <v/>
      </c>
      <c r="O37" s="10">
        <f>IFERROR('dataset- CAIF corriente'!O39*VLOOKUP(constante!O$1,ipc!$A:$D,4,FALSE)/1000000,"")</f>
        <v/>
      </c>
      <c r="P37" s="10">
        <f>IFERROR('dataset- CAIF corriente'!P39*VLOOKUP(constante!P$1,ipc!$A:$D,4,FALSE)/1000000,"")</f>
        <v/>
      </c>
      <c r="Q37" s="10">
        <f>IFERROR('dataset- CAIF corriente'!Q39*VLOOKUP(constante!Q$1,ipc!$A:$D,4,FALSE)/1000000,"")</f>
        <v/>
      </c>
      <c r="R37" s="10">
        <f>IFERROR('dataset- CAIF corriente'!R39*VLOOKUP(constante!R$1,ipc!$A:$D,4,FALSE)/1000000,"")</f>
        <v/>
      </c>
      <c r="S37" s="10">
        <f>IFERROR('dataset- CAIF corriente'!S39*VLOOKUP(constante!S$1,ipc!$A:$D,4,FALSE)/1000000,"")</f>
        <v/>
      </c>
      <c r="T37" s="10">
        <f>IFERROR('dataset- CAIF corriente'!T39*VLOOKUP(constante!T$1,ipc!$A:$D,4,FALSE)/1000000,"")</f>
        <v/>
      </c>
      <c r="U37" s="10">
        <f>IFERROR('dataset- CAIF corriente'!U39*VLOOKUP(constante!U$1,ipc!$A:$D,4,FALSE)/1000000,"")</f>
        <v/>
      </c>
      <c r="V37" s="10">
        <f>IFERROR('dataset- CAIF corriente'!V39*VLOOKUP(constante!V$1,ipc!$A:$D,4,FALSE)/1000000,"")</f>
        <v/>
      </c>
      <c r="W37" s="10">
        <f>IFERROR('dataset- CAIF corriente'!W39*VLOOKUP(constante!W$1,ipc!$A:$D,4,FALSE)/1000000,"")</f>
        <v/>
      </c>
      <c r="X37" s="10">
        <f>IFERROR('dataset- CAIF corriente'!X39*VLOOKUP(constante!X$1,ipc!$A:$D,4,FALSE)/1000000,"")</f>
        <v/>
      </c>
      <c r="Y37" s="10">
        <f>IFERROR('dataset- CAIF corriente'!Y39*VLOOKUP(constante!Y$1,ipc!$A:$D,4,FALSE)/1000000,"")</f>
        <v/>
      </c>
      <c r="Z37" s="10">
        <f>IFERROR('dataset- CAIF corriente'!Z39*VLOOKUP(constante!Z$1,ipc!$A:$D,4,FALSE)/1000000,"")</f>
        <v/>
      </c>
      <c r="AA37" s="10">
        <f>IFERROR('dataset- CAIF corriente'!AA39*VLOOKUP(constante!AA$1,ipc!$A:$D,4,FALSE)/1000000,"")</f>
        <v/>
      </c>
      <c r="AB37" s="10">
        <f>IFERROR('dataset- CAIF corriente'!AB39*VLOOKUP(constante!AB$1,ipc!$A:$D,4,FALSE)/1000000,"")</f>
        <v/>
      </c>
      <c r="AC37" s="10">
        <f>IFERROR('dataset- CAIF corriente'!AC39*VLOOKUP(constante!AC$1,ipc!$A:$D,4,FALSE)/1000000,"")</f>
        <v/>
      </c>
      <c r="AD37" s="10">
        <f>IFERROR('dataset- CAIF corriente'!AD39*VLOOKUP(constante!AD$1,ipc!$A:$D,4,FALSE)/1000000,"")</f>
        <v/>
      </c>
      <c r="AE37" s="10">
        <f>IFERROR('dataset- CAIF corriente'!AE39*VLOOKUP(constante!AE$1,ipc!$A:$D,4,FALSE)/1000000,"")</f>
        <v/>
      </c>
      <c r="AF37">
        <f>IFERROR('dataset- CAIF corriente'!AF39*VLOOKUP(constante!AF$1,ipc!$A:$D,4,FALSE)/1000000,"")</f>
        <v/>
      </c>
      <c r="AG37">
        <f>IFERROR('dataset- CAIF corriente'!AG39*VLOOKUP(constante!AG$1,ipc!$A:$D,4,FALSE)/1000000,"")</f>
        <v/>
      </c>
    </row>
    <row r="38">
      <c r="A38" s="23" t="inlineStr">
        <is>
          <t>Amortización de la deuda y disminución de otros pasivos</t>
        </is>
      </c>
      <c r="B38" s="24">
        <f>IFERROR('dataset- CAIF corriente'!B40*VLOOKUP(constante!B$1,ipc!$A:$D,4,FALSE)/1000000,"")</f>
        <v/>
      </c>
      <c r="C38" s="24">
        <f>IFERROR('dataset- CAIF corriente'!C40*VLOOKUP(constante!C$1,ipc!$A:$D,4,FALSE)/1000000,"")</f>
        <v/>
      </c>
      <c r="D38" s="24">
        <f>IFERROR('dataset- CAIF corriente'!D40*VLOOKUP(constante!D$1,ipc!$A:$D,4,FALSE)/1000000,"")</f>
        <v/>
      </c>
      <c r="E38" s="24">
        <f>IFERROR('dataset- CAIF corriente'!E40*VLOOKUP(constante!E$1,ipc!$A:$D,4,FALSE)/1000000,"")</f>
        <v/>
      </c>
      <c r="F38" s="24">
        <f>IFERROR('dataset- CAIF corriente'!F40*VLOOKUP(constante!F$1,ipc!$A:$D,4,FALSE)/1000000,"")</f>
        <v/>
      </c>
      <c r="G38" s="24">
        <f>IFERROR('dataset- CAIF corriente'!G40*VLOOKUP(constante!G$1,ipc!$A:$D,4,FALSE)/1000000,"")</f>
        <v/>
      </c>
      <c r="H38" s="24">
        <f>IFERROR('dataset- CAIF corriente'!H40*VLOOKUP(constante!H$1,ipc!$A:$D,4,FALSE)/1000000,"")</f>
        <v/>
      </c>
      <c r="I38" s="24">
        <f>IFERROR('dataset- CAIF corriente'!I40*VLOOKUP(constante!I$1,ipc!$A:$D,4,FALSE)/1000000,"")</f>
        <v/>
      </c>
      <c r="J38" s="24">
        <f>IFERROR('dataset- CAIF corriente'!J40*VLOOKUP(constante!J$1,ipc!$A:$D,4,FALSE)/1000000,"")</f>
        <v/>
      </c>
      <c r="K38" s="24">
        <f>IFERROR('dataset- CAIF corriente'!K40*VLOOKUP(constante!K$1,ipc!$A:$D,4,FALSE)/1000000,"")</f>
        <v/>
      </c>
      <c r="L38" s="24">
        <f>IFERROR('dataset- CAIF corriente'!L40*VLOOKUP(constante!L$1,ipc!$A:$D,4,FALSE)/1000000,"")</f>
        <v/>
      </c>
      <c r="M38" s="24">
        <f>IFERROR('dataset- CAIF corriente'!M40*VLOOKUP(constante!M$1,ipc!$A:$D,4,FALSE)/1000000,"")</f>
        <v/>
      </c>
      <c r="N38" s="24">
        <f>IFERROR('dataset- CAIF corriente'!N40*VLOOKUP(constante!N$1,ipc!$A:$D,4,FALSE)/1000000,"")</f>
        <v/>
      </c>
      <c r="O38" s="24">
        <f>IFERROR('dataset- CAIF corriente'!O40*VLOOKUP(constante!O$1,ipc!$A:$D,4,FALSE)/1000000,"")</f>
        <v/>
      </c>
      <c r="P38" s="24">
        <f>IFERROR('dataset- CAIF corriente'!P40*VLOOKUP(constante!P$1,ipc!$A:$D,4,FALSE)/1000000,"")</f>
        <v/>
      </c>
      <c r="Q38" s="24">
        <f>IFERROR('dataset- CAIF corriente'!Q40*VLOOKUP(constante!Q$1,ipc!$A:$D,4,FALSE)/1000000,"")</f>
        <v/>
      </c>
      <c r="R38" s="24">
        <f>IFERROR('dataset- CAIF corriente'!R40*VLOOKUP(constante!R$1,ipc!$A:$D,4,FALSE)/1000000,"")</f>
        <v/>
      </c>
      <c r="S38" s="24">
        <f>IFERROR('dataset- CAIF corriente'!S40*VLOOKUP(constante!S$1,ipc!$A:$D,4,FALSE)/1000000,"")</f>
        <v/>
      </c>
      <c r="T38" s="24">
        <f>IFERROR('dataset- CAIF corriente'!T40*VLOOKUP(constante!T$1,ipc!$A:$D,4,FALSE)/1000000,"")</f>
        <v/>
      </c>
      <c r="U38" s="24">
        <f>IFERROR('dataset- CAIF corriente'!U40*VLOOKUP(constante!U$1,ipc!$A:$D,4,FALSE)/1000000,"")</f>
        <v/>
      </c>
      <c r="V38" s="24">
        <f>IFERROR('dataset- CAIF corriente'!V40*VLOOKUP(constante!V$1,ipc!$A:$D,4,FALSE)/1000000,"")</f>
        <v/>
      </c>
      <c r="W38" s="24">
        <f>IFERROR('dataset- CAIF corriente'!W40*VLOOKUP(constante!W$1,ipc!$A:$D,4,FALSE)/1000000,"")</f>
        <v/>
      </c>
      <c r="X38" s="24">
        <f>IFERROR('dataset- CAIF corriente'!X40*VLOOKUP(constante!X$1,ipc!$A:$D,4,FALSE)/1000000,"")</f>
        <v/>
      </c>
      <c r="Y38" s="24">
        <f>IFERROR('dataset- CAIF corriente'!Y40*VLOOKUP(constante!Y$1,ipc!$A:$D,4,FALSE)/1000000,"")</f>
        <v/>
      </c>
      <c r="Z38" s="24">
        <f>IFERROR('dataset- CAIF corriente'!Z40*VLOOKUP(constante!Z$1,ipc!$A:$D,4,FALSE)/1000000,"")</f>
        <v/>
      </c>
      <c r="AA38" s="24">
        <f>IFERROR('dataset- CAIF corriente'!AA40*VLOOKUP(constante!AA$1,ipc!$A:$D,4,FALSE)/1000000,"")</f>
        <v/>
      </c>
      <c r="AB38" s="24">
        <f>IFERROR('dataset- CAIF corriente'!AB40*VLOOKUP(constante!AB$1,ipc!$A:$D,4,FALSE)/1000000,"")</f>
        <v/>
      </c>
      <c r="AC38" s="24">
        <f>IFERROR('dataset- CAIF corriente'!AC40*VLOOKUP(constante!AC$1,ipc!$A:$D,4,FALSE)/1000000,"")</f>
        <v/>
      </c>
      <c r="AD38" s="24">
        <f>IFERROR('dataset- CAIF corriente'!AD40*VLOOKUP(constante!AD$1,ipc!$A:$D,4,FALSE)/1000000,"")</f>
        <v/>
      </c>
      <c r="AE38" s="24">
        <f>IFERROR('dataset- CAIF corriente'!AE40*VLOOKUP(constante!AE$1,ipc!$A:$D,4,FALSE)/1000000,"")</f>
        <v/>
      </c>
      <c r="AF38">
        <f>IFERROR('dataset- CAIF corriente'!AF40*VLOOKUP(constante!AF$1,ipc!$A:$D,4,FALSE)/1000000,"")</f>
        <v/>
      </c>
      <c r="AG38">
        <f>IFERROR('dataset- CAIF corriente'!AG40*VLOOKUP(constante!AG$1,ipc!$A:$D,4,FALSE)/1000000,"")</f>
        <v/>
      </c>
    </row>
    <row r="39">
      <c r="H39" t="inlineStr">
        <is>
          <t>=</t>
        </is>
      </c>
      <c r="N39" t="inlineStr">
        <is>
          <t>Macri</t>
        </is>
      </c>
      <c r="R39">
        <f>Y23/I23-1</f>
        <v/>
      </c>
      <c r="V39" t="inlineStr">
        <is>
          <t>Larreta</t>
        </is>
      </c>
      <c r="AD39" t="inlineStr">
        <is>
          <t>J. Macri</t>
        </is>
      </c>
    </row>
    <row r="40">
      <c r="A40" s="9" t="inlineStr">
        <is>
          <t>Cambio de gestión</t>
        </is>
      </c>
      <c r="N40" t="n">
        <v>150</v>
      </c>
      <c r="V40" t="n">
        <v>150</v>
      </c>
      <c r="AD40" t="n">
        <v>150</v>
      </c>
    </row>
    <row r="41">
      <c r="A41" s="32" t="inlineStr">
        <is>
          <t>Resultado primario</t>
        </is>
      </c>
      <c r="B41" s="31">
        <f>B25/B23</f>
        <v/>
      </c>
      <c r="C41" s="31">
        <f>C25/C23</f>
        <v/>
      </c>
      <c r="D41" s="31">
        <f>D25/D23</f>
        <v/>
      </c>
      <c r="E41" s="31">
        <f>E25/E23</f>
        <v/>
      </c>
      <c r="F41" s="31">
        <f>F25/F23</f>
        <v/>
      </c>
      <c r="G41" s="31">
        <f>G25/G23</f>
        <v/>
      </c>
      <c r="H41" s="31">
        <f>H25/H23</f>
        <v/>
      </c>
      <c r="I41" s="31">
        <f>I25/I23</f>
        <v/>
      </c>
      <c r="J41" s="31">
        <f>J25/J23</f>
        <v/>
      </c>
      <c r="K41" s="31">
        <f>K25/K23</f>
        <v/>
      </c>
      <c r="L41" s="31">
        <f>L25/L23</f>
        <v/>
      </c>
      <c r="M41" s="31">
        <f>M25/M23</f>
        <v/>
      </c>
      <c r="N41" s="31">
        <f>N25/N23</f>
        <v/>
      </c>
      <c r="O41" s="31">
        <f>O25/O23</f>
        <v/>
      </c>
      <c r="P41" s="31">
        <f>P25/P23</f>
        <v/>
      </c>
      <c r="Q41" s="31">
        <f>Q25/Q23</f>
        <v/>
      </c>
      <c r="R41" s="31">
        <f>R25/R23</f>
        <v/>
      </c>
      <c r="S41" s="31">
        <f>S25/S23</f>
        <v/>
      </c>
      <c r="T41" s="31">
        <f>T25/T23</f>
        <v/>
      </c>
      <c r="U41" s="31">
        <f>U25/U23</f>
        <v/>
      </c>
      <c r="V41" s="31">
        <f>V25/V23</f>
        <v/>
      </c>
      <c r="W41" s="31">
        <f>W25/W23</f>
        <v/>
      </c>
      <c r="X41" s="31">
        <f>X25/X23</f>
        <v/>
      </c>
      <c r="Y41" s="31">
        <f>Y25/Y23</f>
        <v/>
      </c>
      <c r="Z41" s="31">
        <f>Z25/Z23</f>
        <v/>
      </c>
      <c r="AA41" s="31">
        <f>AA25/AA23</f>
        <v/>
      </c>
      <c r="AB41" s="31">
        <f>AB25/AB23</f>
        <v/>
      </c>
      <c r="AC41" s="31">
        <f>AC25/AC23</f>
        <v/>
      </c>
      <c r="AD41" s="31">
        <f>AD25/AD23</f>
        <v/>
      </c>
      <c r="AE41" s="31">
        <f>AE25/AE23</f>
        <v/>
      </c>
    </row>
    <row r="42">
      <c r="A42" s="9" t="inlineStr">
        <is>
          <t>Intereses de la deuda</t>
        </is>
      </c>
      <c r="B42" s="31">
        <f>B26/B23</f>
        <v/>
      </c>
      <c r="C42" s="31">
        <f>C26/C23</f>
        <v/>
      </c>
      <c r="D42" s="31">
        <f>D26/D23</f>
        <v/>
      </c>
      <c r="E42" s="31">
        <f>E26/E23</f>
        <v/>
      </c>
      <c r="F42" s="31">
        <f>F26/F23</f>
        <v/>
      </c>
      <c r="G42" s="31">
        <f>G26/G23</f>
        <v/>
      </c>
      <c r="H42" s="31">
        <f>H26/H23</f>
        <v/>
      </c>
      <c r="I42" s="31">
        <f>I26/I23</f>
        <v/>
      </c>
      <c r="J42" s="31">
        <f>J26/J23</f>
        <v/>
      </c>
      <c r="K42" s="31">
        <f>K26/K23</f>
        <v/>
      </c>
      <c r="L42" s="31">
        <f>L26/L23</f>
        <v/>
      </c>
      <c r="M42" s="31">
        <f>M26/M23</f>
        <v/>
      </c>
      <c r="N42" s="31">
        <f>N26/N23</f>
        <v/>
      </c>
      <c r="O42" s="31">
        <f>O26/O23</f>
        <v/>
      </c>
      <c r="P42" s="31">
        <f>P26/P23</f>
        <v/>
      </c>
      <c r="Q42" s="31">
        <f>Q26/Q23</f>
        <v/>
      </c>
      <c r="R42" s="31">
        <f>R26/R23</f>
        <v/>
      </c>
      <c r="S42" s="31">
        <f>S26/S23</f>
        <v/>
      </c>
      <c r="T42" s="31">
        <f>T26/T23</f>
        <v/>
      </c>
      <c r="U42" s="31">
        <f>U26/U23</f>
        <v/>
      </c>
      <c r="V42" s="31">
        <f>V26/V23</f>
        <v/>
      </c>
      <c r="W42" s="31">
        <f>W26/W23</f>
        <v/>
      </c>
      <c r="X42" s="31">
        <f>X26/X23</f>
        <v/>
      </c>
      <c r="Y42" s="31">
        <f>Y26/Y23</f>
        <v/>
      </c>
      <c r="Z42" s="31">
        <f>Z26/Z23</f>
        <v/>
      </c>
      <c r="AA42" s="31">
        <f>AA26/AA23</f>
        <v/>
      </c>
      <c r="AB42" s="31">
        <f>AB26/AB23</f>
        <v/>
      </c>
      <c r="AC42" s="31">
        <f>AC26/AC23</f>
        <v/>
      </c>
      <c r="AD42" s="31">
        <f>AD26/AD23</f>
        <v/>
      </c>
      <c r="AE42" s="31">
        <f>AE26/AE23</f>
        <v/>
      </c>
    </row>
    <row r="43">
      <c r="A43" s="9" t="inlineStr">
        <is>
          <t>Resultado financiero</t>
        </is>
      </c>
      <c r="B43" s="31">
        <f>B28/B23</f>
        <v/>
      </c>
      <c r="C43" s="31">
        <f>C28/C23</f>
        <v/>
      </c>
      <c r="D43" s="31">
        <f>D28/D23</f>
        <v/>
      </c>
      <c r="E43" s="31">
        <f>E28/E23</f>
        <v/>
      </c>
      <c r="F43" s="31">
        <f>F28/F23</f>
        <v/>
      </c>
      <c r="G43" s="31">
        <f>G28/G23</f>
        <v/>
      </c>
      <c r="H43" s="31">
        <f>H28/H23</f>
        <v/>
      </c>
      <c r="I43" s="31">
        <f>I28/I23</f>
        <v/>
      </c>
      <c r="J43" s="31">
        <f>J28/J23</f>
        <v/>
      </c>
      <c r="K43" s="31">
        <f>K28/K23</f>
        <v/>
      </c>
      <c r="L43" s="31">
        <f>L28/L23</f>
        <v/>
      </c>
      <c r="M43" s="31">
        <f>M28/M23</f>
        <v/>
      </c>
      <c r="N43" s="31">
        <f>N28/N23</f>
        <v/>
      </c>
      <c r="O43" s="31">
        <f>O28/O23</f>
        <v/>
      </c>
      <c r="P43" s="31">
        <f>P28/P23</f>
        <v/>
      </c>
      <c r="Q43" s="31">
        <f>Q28/Q23</f>
        <v/>
      </c>
      <c r="R43" s="31">
        <f>R28/R23</f>
        <v/>
      </c>
      <c r="S43" s="31">
        <f>S28/S23</f>
        <v/>
      </c>
      <c r="T43" s="31">
        <f>T28/T23</f>
        <v/>
      </c>
      <c r="U43" s="31">
        <f>U28/U23</f>
        <v/>
      </c>
      <c r="V43" s="31">
        <f>V28/V23</f>
        <v/>
      </c>
      <c r="W43" s="31">
        <f>W28/W23</f>
        <v/>
      </c>
      <c r="X43" s="31">
        <f>X28/X23</f>
        <v/>
      </c>
      <c r="Y43" s="31">
        <f>Y28/Y23</f>
        <v/>
      </c>
      <c r="Z43" s="31">
        <f>Z28/Z23</f>
        <v/>
      </c>
      <c r="AA43" s="31">
        <f>AA28/AA23</f>
        <v/>
      </c>
      <c r="AB43" s="31">
        <f>AB28/AB23</f>
        <v/>
      </c>
      <c r="AC43" s="31">
        <f>AC28/AC23</f>
        <v/>
      </c>
      <c r="AD43" s="31">
        <f>AD28/AD23</f>
        <v/>
      </c>
      <c r="AE43" s="31">
        <f>AE28/AE23</f>
        <v/>
      </c>
    </row>
    <row r="78">
      <c r="A78" t="inlineStr">
        <is>
          <t>recursos en billones</t>
        </is>
      </c>
      <c r="B78" s="50">
        <f>B23/1000000</f>
        <v/>
      </c>
      <c r="C78" s="50">
        <f>C23/1000000</f>
        <v/>
      </c>
      <c r="D78" s="50">
        <f>D23/1000000</f>
        <v/>
      </c>
      <c r="E78" s="50">
        <f>E23/1000000</f>
        <v/>
      </c>
      <c r="F78" s="50">
        <f>F23/1000000</f>
        <v/>
      </c>
      <c r="G78" s="50">
        <f>G23/1000000</f>
        <v/>
      </c>
      <c r="H78" s="50">
        <f>H23/1000000</f>
        <v/>
      </c>
      <c r="I78" s="50">
        <f>I23/1000000</f>
        <v/>
      </c>
      <c r="J78" s="50">
        <f>J23/1000000</f>
        <v/>
      </c>
      <c r="K78" s="50">
        <f>K23/1000000</f>
        <v/>
      </c>
      <c r="L78" s="50">
        <f>L23/1000000</f>
        <v/>
      </c>
      <c r="M78" s="50">
        <f>M23/1000000</f>
        <v/>
      </c>
      <c r="N78" s="50">
        <f>N23/1000000</f>
        <v/>
      </c>
      <c r="O78" s="50">
        <f>O23/1000000</f>
        <v/>
      </c>
      <c r="P78" s="50">
        <f>P23/1000000</f>
        <v/>
      </c>
      <c r="Q78" s="50">
        <f>Q23/1000000</f>
        <v/>
      </c>
      <c r="R78" s="50">
        <f>R23/1000000</f>
        <v/>
      </c>
      <c r="S78" s="50">
        <f>S23/1000000</f>
        <v/>
      </c>
      <c r="T78" s="50">
        <f>T23/1000000</f>
        <v/>
      </c>
      <c r="U78" s="50">
        <f>U23/1000000</f>
        <v/>
      </c>
      <c r="V78" s="50">
        <f>V23/1000000</f>
        <v/>
      </c>
      <c r="W78" s="50">
        <f>W23/1000000</f>
        <v/>
      </c>
      <c r="X78" s="50">
        <f>X23/1000000</f>
        <v/>
      </c>
      <c r="Y78" s="50">
        <f>Y23/1000000</f>
        <v/>
      </c>
      <c r="Z78" s="50">
        <f>Z23/1000000</f>
        <v/>
      </c>
      <c r="AA78" s="50">
        <f>AA23/1000000</f>
        <v/>
      </c>
      <c r="AB78" s="50">
        <f>AB23/1000000</f>
        <v/>
      </c>
      <c r="AC78" s="50">
        <f>AC23/1000000</f>
        <v/>
      </c>
      <c r="AD78" s="50">
        <f>AD23/1000000</f>
        <v/>
      </c>
      <c r="AE78" s="50">
        <f>AE23/1000000</f>
        <v/>
      </c>
      <c r="AF78" s="49" t="n"/>
      <c r="AG78" s="49" t="n"/>
      <c r="XFD78" s="49" t="n"/>
    </row>
    <row r="79">
      <c r="A79" t="inlineStr">
        <is>
          <t>Resultado primario</t>
        </is>
      </c>
    </row>
    <row r="80">
      <c r="A80" t="inlineStr">
        <is>
          <t>Recursos totales</t>
        </is>
      </c>
    </row>
    <row r="81">
      <c r="A81" t="inlineStr">
        <is>
          <t>Gasto primario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0" workbookViewId="0">
      <selection activeCell="A12" sqref="A12"/>
    </sheetView>
  </sheetViews>
  <sheetFormatPr baseColWidth="10" defaultRowHeight="14.4"/>
  <sheetData>
    <row r="1">
      <c r="A1" t="inlineStr">
        <is>
          <t>Títulos públicos emitidos por el  Gobierno de la Ciudad de Buenos Aires. Años  2010/2024</t>
        </is>
      </c>
    </row>
    <row r="2">
      <c r="A2" t="inlineStr">
        <is>
          <t>Títulos públicos</t>
        </is>
      </c>
      <c r="B2" t="inlineStr">
        <is>
          <t>2010</t>
        </is>
      </c>
      <c r="D2" t="n">
        <v>2011</v>
      </c>
      <c r="F2" t="n">
        <v>2012</v>
      </c>
      <c r="H2" t="n">
        <v>2013</v>
      </c>
      <c r="J2" t="n">
        <v>2014</v>
      </c>
      <c r="L2" t="n">
        <v>2015</v>
      </c>
      <c r="N2" t="n">
        <v>2016</v>
      </c>
      <c r="P2" t="n">
        <v>2017</v>
      </c>
      <c r="R2" t="n">
        <v>2018</v>
      </c>
      <c r="T2" t="n">
        <v>2019</v>
      </c>
      <c r="V2" t="n">
        <v>2020</v>
      </c>
      <c r="X2" t="n">
        <v>2021</v>
      </c>
      <c r="Z2" t="n">
        <v>2022</v>
      </c>
      <c r="AB2" t="n">
        <v>2023</v>
      </c>
      <c r="AD2" t="n">
        <v>2024</v>
      </c>
    </row>
    <row r="3">
      <c r="B3" t="inlineStr">
        <is>
          <t>Millones de pesos</t>
        </is>
      </c>
      <c r="C3" t="inlineStr">
        <is>
          <t>Millones de dólares</t>
        </is>
      </c>
      <c r="D3" t="inlineStr">
        <is>
          <t>Millones de pesos</t>
        </is>
      </c>
      <c r="E3" t="inlineStr">
        <is>
          <t>Millones de dólares</t>
        </is>
      </c>
      <c r="F3" t="inlineStr">
        <is>
          <t>Millones de pesos</t>
        </is>
      </c>
      <c r="G3" t="inlineStr">
        <is>
          <t>Millones de dólares</t>
        </is>
      </c>
      <c r="H3" t="inlineStr">
        <is>
          <t>Millones de pesos</t>
        </is>
      </c>
      <c r="I3" t="inlineStr">
        <is>
          <t>Millones de dólares</t>
        </is>
      </c>
      <c r="J3" t="inlineStr">
        <is>
          <t>Millones de pesos</t>
        </is>
      </c>
      <c r="K3" t="inlineStr">
        <is>
          <t>Millones de dólares</t>
        </is>
      </c>
      <c r="L3" t="inlineStr">
        <is>
          <t>Millones de pesos</t>
        </is>
      </c>
      <c r="M3" t="inlineStr">
        <is>
          <t>Millones de dólares</t>
        </is>
      </c>
      <c r="N3" t="inlineStr">
        <is>
          <t>Millones de pesos</t>
        </is>
      </c>
      <c r="O3" t="inlineStr">
        <is>
          <t>Millones de dólares</t>
        </is>
      </c>
      <c r="P3" t="inlineStr">
        <is>
          <t>Millones de pesos</t>
        </is>
      </c>
      <c r="Q3" t="inlineStr">
        <is>
          <t>Millones de dólares</t>
        </is>
      </c>
      <c r="R3" t="inlineStr">
        <is>
          <t>Millones de pesos</t>
        </is>
      </c>
      <c r="S3" t="inlineStr">
        <is>
          <t>Millones de dólares</t>
        </is>
      </c>
      <c r="T3" t="inlineStr">
        <is>
          <t>Millones de pesos</t>
        </is>
      </c>
      <c r="U3" t="inlineStr">
        <is>
          <t>Millones de dólares</t>
        </is>
      </c>
      <c r="V3" t="inlineStr">
        <is>
          <t>Millones de pesos</t>
        </is>
      </c>
      <c r="W3" t="inlineStr">
        <is>
          <t>Millones de dólares</t>
        </is>
      </c>
      <c r="X3" t="inlineStr">
        <is>
          <t>Millones de pesos</t>
        </is>
      </c>
      <c r="Y3" t="inlineStr">
        <is>
          <t>Millones de dólares</t>
        </is>
      </c>
      <c r="Z3" t="inlineStr">
        <is>
          <t>Millones de pesos</t>
        </is>
      </c>
      <c r="AA3" t="inlineStr">
        <is>
          <t>Millones de dólares</t>
        </is>
      </c>
      <c r="AB3" t="inlineStr">
        <is>
          <t>Millones de pesos</t>
        </is>
      </c>
      <c r="AC3" t="inlineStr">
        <is>
          <t>Millones de dólares</t>
        </is>
      </c>
      <c r="AD3" t="inlineStr">
        <is>
          <t>Millones de pesos</t>
        </is>
      </c>
      <c r="AE3" t="inlineStr">
        <is>
          <t>Millones de dólares</t>
        </is>
      </c>
    </row>
    <row r="4">
      <c r="A4" t="inlineStr">
        <is>
          <t>Total</t>
        </is>
      </c>
      <c r="B4" t="n">
        <v>540.58554</v>
      </c>
      <c r="C4" t="n">
        <v>624.6375</v>
      </c>
      <c r="D4" t="n">
        <v>2.5351</v>
      </c>
      <c r="E4" t="n">
        <v>617.4664</v>
      </c>
      <c r="F4" t="n">
        <v>195.5673</v>
      </c>
      <c r="G4" t="n">
        <v>1133.573</v>
      </c>
      <c r="H4" t="n">
        <v>101.9539</v>
      </c>
      <c r="I4" t="n">
        <v>1549.606</v>
      </c>
      <c r="J4" t="n">
        <v>374.362</v>
      </c>
      <c r="K4" t="n">
        <v>1850.554</v>
      </c>
      <c r="L4" t="n">
        <v>1216.06</v>
      </c>
      <c r="M4" t="n">
        <v>1915.28</v>
      </c>
      <c r="N4" t="n">
        <v>4395.238</v>
      </c>
      <c r="O4" t="n">
        <v>2204.8482</v>
      </c>
      <c r="P4" t="n">
        <v>22259.2661</v>
      </c>
      <c r="Q4" t="n">
        <v>1608.5596</v>
      </c>
      <c r="R4" t="n">
        <v>28304.3623</v>
      </c>
      <c r="S4" t="n">
        <v>1466.7623</v>
      </c>
      <c r="T4" t="n">
        <v>47782.9616</v>
      </c>
      <c r="U4" t="n">
        <v>1253.3728</v>
      </c>
      <c r="V4" t="n">
        <v>87988.18490000001</v>
      </c>
      <c r="W4" t="n">
        <v>1071.4536</v>
      </c>
      <c r="X4" t="n">
        <v>100093.9</v>
      </c>
      <c r="Y4" t="n">
        <v>890</v>
      </c>
      <c r="Z4" t="n">
        <v>76636.10000000001</v>
      </c>
      <c r="AA4" t="n">
        <v>890</v>
      </c>
      <c r="AB4" t="n">
        <v>61687.5</v>
      </c>
      <c r="AC4" t="n">
        <v>890</v>
      </c>
      <c r="AD4" t="n">
        <v>35684.2</v>
      </c>
      <c r="AE4" t="n">
        <v>890</v>
      </c>
    </row>
    <row r="5">
      <c r="A5" t="inlineStr">
        <is>
          <t>Bono Tango</t>
        </is>
      </c>
      <c r="B5" t="n">
        <v>7.5798</v>
      </c>
      <c r="C5" t="n">
        <v>624.6375</v>
      </c>
      <c r="D5" t="n">
        <v>2.5351</v>
      </c>
      <c r="E5" t="n">
        <v>617.4664</v>
      </c>
      <c r="F5" t="inlineStr">
        <is>
          <t xml:space="preserve"> -</t>
        </is>
      </c>
      <c r="G5" t="n">
        <v>1133.573</v>
      </c>
      <c r="H5" t="inlineStr">
        <is>
          <t xml:space="preserve"> -</t>
        </is>
      </c>
      <c r="I5" t="n">
        <v>932.7118</v>
      </c>
      <c r="J5" t="inlineStr">
        <is>
          <t xml:space="preserve"> -</t>
        </is>
      </c>
      <c r="K5" t="n">
        <v>918.3425</v>
      </c>
      <c r="L5" t="inlineStr">
        <is>
          <t xml:space="preserve"> -</t>
        </is>
      </c>
      <c r="M5" t="n">
        <v>945.77</v>
      </c>
      <c r="N5" t="inlineStr">
        <is>
          <t xml:space="preserve"> -</t>
        </is>
      </c>
      <c r="O5" t="n">
        <v>1593.7082</v>
      </c>
      <c r="P5" t="inlineStr">
        <is>
          <t xml:space="preserve"> -</t>
        </is>
      </c>
      <c r="Q5" t="n">
        <v>1412.5292</v>
      </c>
      <c r="R5" t="inlineStr">
        <is>
          <t xml:space="preserve"> -</t>
        </is>
      </c>
      <c r="S5" t="n">
        <v>1412.5292</v>
      </c>
      <c r="T5" t="inlineStr">
        <is>
          <t>-</t>
        </is>
      </c>
      <c r="U5" t="n">
        <v>1241.9914</v>
      </c>
      <c r="V5" t="inlineStr">
        <is>
          <t>-</t>
        </is>
      </c>
      <c r="W5" t="n">
        <v>1071.4536</v>
      </c>
      <c r="X5" t="inlineStr">
        <is>
          <t>-</t>
        </is>
      </c>
      <c r="Y5" t="n">
        <v>890</v>
      </c>
      <c r="Z5" t="inlineStr">
        <is>
          <t>-</t>
        </is>
      </c>
      <c r="AA5" t="n">
        <v>890</v>
      </c>
      <c r="AB5" t="inlineStr">
        <is>
          <t>-</t>
        </is>
      </c>
      <c r="AC5" t="n">
        <v>890</v>
      </c>
      <c r="AD5" t="inlineStr">
        <is>
          <t>-</t>
        </is>
      </c>
      <c r="AE5" t="n">
        <v>890</v>
      </c>
    </row>
    <row r="6">
      <c r="A6" t="inlineStr">
        <is>
          <t>Certificado Cancelación de deuda - Ley 2810</t>
        </is>
      </c>
      <c r="B6" t="n">
        <v>116.74024</v>
      </c>
      <c r="C6" t="inlineStr">
        <is>
          <t xml:space="preserve"> -</t>
        </is>
      </c>
      <c r="D6" t="inlineStr">
        <is>
          <t xml:space="preserve"> -</t>
        </is>
      </c>
      <c r="E6" t="inlineStr">
        <is>
          <t xml:space="preserve"> -</t>
        </is>
      </c>
      <c r="F6" t="inlineStr">
        <is>
          <t xml:space="preserve"> -</t>
        </is>
      </c>
      <c r="G6" t="inlineStr">
        <is>
          <t xml:space="preserve"> -</t>
        </is>
      </c>
      <c r="H6" t="inlineStr">
        <is>
          <t xml:space="preserve"> -</t>
        </is>
      </c>
      <c r="I6" t="inlineStr">
        <is>
          <t xml:space="preserve"> -</t>
        </is>
      </c>
      <c r="J6" t="inlineStr">
        <is>
          <t xml:space="preserve"> -</t>
        </is>
      </c>
      <c r="K6" t="inlineStr">
        <is>
          <t xml:space="preserve"> -</t>
        </is>
      </c>
      <c r="L6" t="inlineStr">
        <is>
          <t xml:space="preserve"> -</t>
        </is>
      </c>
      <c r="M6" t="inlineStr">
        <is>
          <t xml:space="preserve"> -</t>
        </is>
      </c>
      <c r="N6" t="inlineStr">
        <is>
          <t xml:space="preserve"> -</t>
        </is>
      </c>
      <c r="O6" t="inlineStr">
        <is>
          <t xml:space="preserve"> -</t>
        </is>
      </c>
      <c r="P6" t="inlineStr">
        <is>
          <t xml:space="preserve"> -</t>
        </is>
      </c>
      <c r="Q6" t="inlineStr">
        <is>
          <t xml:space="preserve"> -</t>
        </is>
      </c>
      <c r="R6" t="inlineStr">
        <is>
          <t xml:space="preserve"> -</t>
        </is>
      </c>
      <c r="S6" t="inlineStr">
        <is>
          <t xml:space="preserve"> -</t>
        </is>
      </c>
      <c r="T6" t="inlineStr">
        <is>
          <t xml:space="preserve"> -</t>
        </is>
      </c>
      <c r="U6" t="inlineStr">
        <is>
          <t xml:space="preserve"> -</t>
        </is>
      </c>
      <c r="V6" t="inlineStr">
        <is>
          <t xml:space="preserve"> -</t>
        </is>
      </c>
      <c r="W6" t="inlineStr">
        <is>
          <t xml:space="preserve"> 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Bono Ley 3152 art. 1</t>
        </is>
      </c>
      <c r="B7" t="n">
        <v>416.2655</v>
      </c>
      <c r="C7" t="inlineStr">
        <is>
          <t xml:space="preserve"> -</t>
        </is>
      </c>
      <c r="D7" t="inlineStr">
        <is>
          <t xml:space="preserve"> -</t>
        </is>
      </c>
      <c r="E7" t="inlineStr">
        <is>
          <t xml:space="preserve"> -</t>
        </is>
      </c>
      <c r="F7" t="inlineStr">
        <is>
          <t xml:space="preserve"> -</t>
        </is>
      </c>
      <c r="G7" t="inlineStr">
        <is>
          <t xml:space="preserve"> -</t>
        </is>
      </c>
      <c r="H7" t="inlineStr">
        <is>
          <t xml:space="preserve"> -</t>
        </is>
      </c>
      <c r="I7" t="inlineStr">
        <is>
          <t xml:space="preserve"> -</t>
        </is>
      </c>
      <c r="J7" t="inlineStr">
        <is>
          <t xml:space="preserve"> -</t>
        </is>
      </c>
      <c r="K7" t="inlineStr">
        <is>
          <t xml:space="preserve"> -</t>
        </is>
      </c>
      <c r="L7" t="inlineStr">
        <is>
          <t xml:space="preserve"> -</t>
        </is>
      </c>
      <c r="M7" t="inlineStr">
        <is>
          <t xml:space="preserve"> -</t>
        </is>
      </c>
      <c r="N7" t="inlineStr">
        <is>
          <t xml:space="preserve"> -</t>
        </is>
      </c>
      <c r="O7" t="inlineStr">
        <is>
          <t xml:space="preserve"> -</t>
        </is>
      </c>
      <c r="P7" t="inlineStr">
        <is>
          <t xml:space="preserve"> -</t>
        </is>
      </c>
      <c r="Q7" t="inlineStr">
        <is>
          <t xml:space="preserve"> -</t>
        </is>
      </c>
      <c r="R7" t="inlineStr">
        <is>
          <t xml:space="preserve"> -</t>
        </is>
      </c>
      <c r="S7" t="inlineStr">
        <is>
          <t xml:space="preserve"> -</t>
        </is>
      </c>
      <c r="T7" t="inlineStr">
        <is>
          <t xml:space="preserve"> -</t>
        </is>
      </c>
      <c r="U7" t="inlineStr">
        <is>
          <t xml:space="preserve"> -</t>
        </is>
      </c>
      <c r="V7" t="inlineStr">
        <is>
          <t xml:space="preserve"> -</t>
        </is>
      </c>
      <c r="W7" t="inlineStr">
        <is>
          <t xml:space="preserve"> 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Bono Ley 4263</t>
        </is>
      </c>
      <c r="B8" t="inlineStr">
        <is>
          <t xml:space="preserve"> -</t>
        </is>
      </c>
      <c r="C8" t="inlineStr">
        <is>
          <t xml:space="preserve"> -</t>
        </is>
      </c>
      <c r="D8" t="inlineStr">
        <is>
          <t xml:space="preserve"> -</t>
        </is>
      </c>
      <c r="E8" t="inlineStr">
        <is>
          <t xml:space="preserve"> -</t>
        </is>
      </c>
      <c r="F8" t="n">
        <v>195.5673</v>
      </c>
      <c r="G8" t="inlineStr">
        <is>
          <t xml:space="preserve"> -</t>
        </is>
      </c>
      <c r="H8" t="n">
        <v>101.9539</v>
      </c>
      <c r="I8" t="inlineStr">
        <is>
          <t xml:space="preserve"> -</t>
        </is>
      </c>
      <c r="J8" t="inlineStr">
        <is>
          <t xml:space="preserve"> -</t>
        </is>
      </c>
      <c r="K8" t="inlineStr">
        <is>
          <t xml:space="preserve"> -</t>
        </is>
      </c>
      <c r="L8" t="inlineStr">
        <is>
          <t xml:space="preserve"> -</t>
        </is>
      </c>
      <c r="M8" t="inlineStr">
        <is>
          <t xml:space="preserve"> -</t>
        </is>
      </c>
      <c r="N8" t="inlineStr">
        <is>
          <t xml:space="preserve"> -</t>
        </is>
      </c>
      <c r="O8" t="inlineStr">
        <is>
          <t xml:space="preserve"> -</t>
        </is>
      </c>
      <c r="P8" t="inlineStr">
        <is>
          <t xml:space="preserve"> -</t>
        </is>
      </c>
      <c r="Q8" t="inlineStr">
        <is>
          <t xml:space="preserve"> -</t>
        </is>
      </c>
      <c r="R8" t="inlineStr">
        <is>
          <t xml:space="preserve"> -</t>
        </is>
      </c>
      <c r="S8" t="inlineStr">
        <is>
          <t xml:space="preserve"> -</t>
        </is>
      </c>
      <c r="T8" t="inlineStr">
        <is>
          <t xml:space="preserve"> -</t>
        </is>
      </c>
      <c r="U8" t="inlineStr">
        <is>
          <t xml:space="preserve"> -</t>
        </is>
      </c>
      <c r="V8" t="inlineStr">
        <is>
          <t xml:space="preserve"> -</t>
        </is>
      </c>
      <c r="W8" t="inlineStr">
        <is>
          <t xml:space="preserve"> 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 xml:space="preserve">Bono Ley 5236 </t>
        </is>
      </c>
      <c r="B9" t="inlineStr">
        <is>
          <t xml:space="preserve"> -</t>
        </is>
      </c>
      <c r="C9" t="inlineStr">
        <is>
          <t xml:space="preserve"> -</t>
        </is>
      </c>
      <c r="D9" t="inlineStr">
        <is>
          <t xml:space="preserve"> -</t>
        </is>
      </c>
      <c r="E9" t="inlineStr">
        <is>
          <t xml:space="preserve"> -</t>
        </is>
      </c>
      <c r="F9" t="inlineStr">
        <is>
          <t xml:space="preserve"> -</t>
        </is>
      </c>
      <c r="G9" t="inlineStr">
        <is>
          <t xml:space="preserve"> -</t>
        </is>
      </c>
      <c r="H9" t="inlineStr">
        <is>
          <t xml:space="preserve"> -</t>
        </is>
      </c>
      <c r="I9" t="inlineStr">
        <is>
          <t xml:space="preserve"> -</t>
        </is>
      </c>
      <c r="J9" t="inlineStr">
        <is>
          <t xml:space="preserve"> -</t>
        </is>
      </c>
      <c r="K9" t="inlineStr">
        <is>
          <t xml:space="preserve"> -</t>
        </is>
      </c>
      <c r="L9" t="inlineStr">
        <is>
          <t xml:space="preserve"> -</t>
        </is>
      </c>
      <c r="M9" t="inlineStr">
        <is>
          <t xml:space="preserve"> -</t>
        </is>
      </c>
      <c r="N9" t="n">
        <v>1014.5361</v>
      </c>
      <c r="O9" t="inlineStr">
        <is>
          <t xml:space="preserve"> -</t>
        </is>
      </c>
      <c r="P9" t="n">
        <v>344.8762</v>
      </c>
      <c r="Q9" t="inlineStr">
        <is>
          <t>-</t>
        </is>
      </c>
      <c r="R9" t="inlineStr">
        <is>
          <t xml:space="preserve"> -</t>
        </is>
      </c>
      <c r="S9" t="inlineStr">
        <is>
          <t xml:space="preserve"> -</t>
        </is>
      </c>
      <c r="T9" t="inlineStr">
        <is>
          <t xml:space="preserve"> -</t>
        </is>
      </c>
      <c r="U9" t="inlineStr">
        <is>
          <t xml:space="preserve"> -</t>
        </is>
      </c>
      <c r="V9" t="inlineStr">
        <is>
          <t xml:space="preserve"> -</t>
        </is>
      </c>
      <c r="W9" t="inlineStr">
        <is>
          <t xml:space="preserve"> 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Bono Ley 6282 y Ley 6300</t>
        </is>
      </c>
      <c r="B10" t="inlineStr">
        <is>
          <t xml:space="preserve"> -</t>
        </is>
      </c>
      <c r="C10" t="inlineStr">
        <is>
          <t xml:space="preserve"> -</t>
        </is>
      </c>
      <c r="D10" t="inlineStr">
        <is>
          <t xml:space="preserve"> -</t>
        </is>
      </c>
      <c r="E10" t="inlineStr">
        <is>
          <t xml:space="preserve"> -</t>
        </is>
      </c>
      <c r="F10" t="inlineStr">
        <is>
          <t xml:space="preserve"> -</t>
        </is>
      </c>
      <c r="G10" t="inlineStr">
        <is>
          <t xml:space="preserve"> -</t>
        </is>
      </c>
      <c r="H10" t="inlineStr">
        <is>
          <t xml:space="preserve"> -</t>
        </is>
      </c>
      <c r="I10" t="inlineStr">
        <is>
          <t xml:space="preserve"> -</t>
        </is>
      </c>
      <c r="J10" t="inlineStr">
        <is>
          <t xml:space="preserve"> -</t>
        </is>
      </c>
      <c r="K10" t="inlineStr">
        <is>
          <t xml:space="preserve"> -</t>
        </is>
      </c>
      <c r="L10" t="inlineStr">
        <is>
          <t xml:space="preserve"> -</t>
        </is>
      </c>
      <c r="M10" t="inlineStr">
        <is>
          <t xml:space="preserve"> -</t>
        </is>
      </c>
      <c r="N10" t="inlineStr">
        <is>
          <t xml:space="preserve"> -</t>
        </is>
      </c>
      <c r="O10" t="inlineStr">
        <is>
          <t xml:space="preserve"> -</t>
        </is>
      </c>
      <c r="P10" t="inlineStr">
        <is>
          <t xml:space="preserve"> -</t>
        </is>
      </c>
      <c r="Q10" t="inlineStr">
        <is>
          <t xml:space="preserve"> -</t>
        </is>
      </c>
      <c r="R10" t="inlineStr">
        <is>
          <t xml:space="preserve"> -</t>
        </is>
      </c>
      <c r="S10" t="inlineStr">
        <is>
          <t xml:space="preserve"> -</t>
        </is>
      </c>
      <c r="T10" t="inlineStr">
        <is>
          <t xml:space="preserve"> -</t>
        </is>
      </c>
      <c r="U10" t="inlineStr">
        <is>
          <t xml:space="preserve"> -</t>
        </is>
      </c>
      <c r="V10" t="n">
        <v>19092.5172</v>
      </c>
      <c r="W10" t="inlineStr">
        <is>
          <t>-</t>
        </is>
      </c>
      <c r="X10" t="n">
        <v>6105.1</v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Bono Ley 6385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14350.8</v>
      </c>
      <c r="Y11" t="inlineStr">
        <is>
          <t>-</t>
        </is>
      </c>
      <c r="Z11" t="n">
        <v>14948.6</v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Bono de Conversión Ley 6410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Z12" t="n">
        <v>4874.3</v>
      </c>
      <c r="AA12" t="inlineStr">
        <is>
          <t>-</t>
        </is>
      </c>
      <c r="AB12" t="n">
        <v>4874.3</v>
      </c>
      <c r="AC12" t="inlineStr">
        <is>
          <t>-</t>
        </is>
      </c>
      <c r="AD12" t="n">
        <v>4874.3</v>
      </c>
      <c r="AE12" t="inlineStr">
        <is>
          <t>-</t>
        </is>
      </c>
    </row>
    <row r="13">
      <c r="A13" t="inlineStr">
        <is>
          <t>Letras del Tesoro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12000</v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 xml:space="preserve">Programa de Financiamiento  Mercado local </t>
        </is>
      </c>
      <c r="B14" t="inlineStr">
        <is>
          <t xml:space="preserve"> -</t>
        </is>
      </c>
      <c r="C14" t="inlineStr">
        <is>
          <t xml:space="preserve"> -</t>
        </is>
      </c>
      <c r="D14" t="inlineStr">
        <is>
          <t xml:space="preserve"> -</t>
        </is>
      </c>
      <c r="E14" t="inlineStr">
        <is>
          <t xml:space="preserve"> -</t>
        </is>
      </c>
      <c r="F14" t="inlineStr">
        <is>
          <t xml:space="preserve"> -</t>
        </is>
      </c>
      <c r="G14" t="inlineStr">
        <is>
          <t xml:space="preserve"> -</t>
        </is>
      </c>
      <c r="H14" t="inlineStr">
        <is>
          <t xml:space="preserve"> -</t>
        </is>
      </c>
      <c r="I14" t="n">
        <v>616.8942</v>
      </c>
      <c r="J14" t="n">
        <v>374.362</v>
      </c>
      <c r="K14" t="n">
        <v>932.2115</v>
      </c>
      <c r="L14" t="n">
        <v>1216.06</v>
      </c>
      <c r="M14" t="n">
        <v>969.5099999999999</v>
      </c>
      <c r="N14" t="n">
        <v>3380.7019</v>
      </c>
      <c r="O14" t="n">
        <v>611.1400000000001</v>
      </c>
      <c r="P14" t="n">
        <v>21914.3899</v>
      </c>
      <c r="Q14" t="n">
        <v>196.0304</v>
      </c>
      <c r="R14" t="n">
        <v>28304.3623</v>
      </c>
      <c r="S14" t="n">
        <v>54.2331</v>
      </c>
      <c r="T14" t="n">
        <v>47782.9616</v>
      </c>
      <c r="U14" t="n">
        <v>11.3814</v>
      </c>
      <c r="V14" t="n">
        <v>68895.66770000001</v>
      </c>
      <c r="W14" t="inlineStr">
        <is>
          <t>-</t>
        </is>
      </c>
      <c r="X14" t="n">
        <v>67638</v>
      </c>
      <c r="Y14" t="inlineStr">
        <is>
          <t>-</t>
        </is>
      </c>
      <c r="Z14" t="n">
        <v>56813.10000000001</v>
      </c>
      <c r="AA14" t="inlineStr">
        <is>
          <t>-</t>
        </is>
      </c>
      <c r="AB14" t="n">
        <v>56813.2</v>
      </c>
      <c r="AC14" t="inlineStr">
        <is>
          <t>-</t>
        </is>
      </c>
      <c r="AD14" t="n">
        <v>30809.9</v>
      </c>
      <c r="AE14" t="inlineStr">
        <is>
          <t>-</t>
        </is>
      </c>
    </row>
    <row r="15">
      <c r="A15" t="inlineStr">
        <is>
          <t>Bono Ley 4315 - Clase 1</t>
        </is>
      </c>
      <c r="B15" t="inlineStr">
        <is>
          <t xml:space="preserve"> -</t>
        </is>
      </c>
      <c r="C15" t="inlineStr">
        <is>
          <t xml:space="preserve"> -</t>
        </is>
      </c>
      <c r="D15" t="inlineStr">
        <is>
          <t xml:space="preserve"> -</t>
        </is>
      </c>
      <c r="E15" t="inlineStr">
        <is>
          <t xml:space="preserve"> -</t>
        </is>
      </c>
      <c r="F15" t="inlineStr">
        <is>
          <t xml:space="preserve"> -</t>
        </is>
      </c>
      <c r="G15" t="inlineStr">
        <is>
          <t xml:space="preserve"> -</t>
        </is>
      </c>
      <c r="H15" t="inlineStr">
        <is>
          <t xml:space="preserve"> -</t>
        </is>
      </c>
      <c r="I15" t="n">
        <v>101.4133</v>
      </c>
      <c r="J15" t="inlineStr">
        <is>
          <t xml:space="preserve"> -</t>
        </is>
      </c>
      <c r="K15" t="inlineStr">
        <is>
          <t xml:space="preserve"> -</t>
        </is>
      </c>
      <c r="L15" t="inlineStr">
        <is>
          <t xml:space="preserve"> -</t>
        </is>
      </c>
      <c r="M15" t="inlineStr">
        <is>
          <t xml:space="preserve"> -</t>
        </is>
      </c>
      <c r="N15" t="inlineStr">
        <is>
          <t xml:space="preserve"> -</t>
        </is>
      </c>
      <c r="O15" t="inlineStr">
        <is>
          <t xml:space="preserve"> -</t>
        </is>
      </c>
      <c r="P15" t="inlineStr">
        <is>
          <t xml:space="preserve"> -</t>
        </is>
      </c>
      <c r="Q15" t="inlineStr">
        <is>
          <t xml:space="preserve"> -</t>
        </is>
      </c>
      <c r="R15" t="inlineStr">
        <is>
          <t xml:space="preserve"> -</t>
        </is>
      </c>
      <c r="S15" t="inlineStr">
        <is>
          <t xml:space="preserve"> -</t>
        </is>
      </c>
      <c r="T15" t="inlineStr">
        <is>
          <t xml:space="preserve"> -</t>
        </is>
      </c>
      <c r="U15" t="inlineStr">
        <is>
          <t xml:space="preserve"> 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Bono Leyes 4315 y 4431 - Clase 2</t>
        </is>
      </c>
      <c r="B16" t="inlineStr">
        <is>
          <t xml:space="preserve"> -</t>
        </is>
      </c>
      <c r="C16" t="inlineStr">
        <is>
          <t xml:space="preserve"> -</t>
        </is>
      </c>
      <c r="D16" t="inlineStr">
        <is>
          <t xml:space="preserve"> -</t>
        </is>
      </c>
      <c r="E16" t="inlineStr">
        <is>
          <t xml:space="preserve"> -</t>
        </is>
      </c>
      <c r="F16" t="inlineStr">
        <is>
          <t xml:space="preserve"> -</t>
        </is>
      </c>
      <c r="G16" t="inlineStr">
        <is>
          <t xml:space="preserve"> -</t>
        </is>
      </c>
      <c r="H16" t="inlineStr">
        <is>
          <t xml:space="preserve"> -</t>
        </is>
      </c>
      <c r="I16" t="n">
        <v>85.07989999999999</v>
      </c>
      <c r="J16" t="inlineStr">
        <is>
          <t xml:space="preserve"> -</t>
        </is>
      </c>
      <c r="K16" t="inlineStr">
        <is>
          <t xml:space="preserve"> -</t>
        </is>
      </c>
      <c r="L16" t="inlineStr">
        <is>
          <t xml:space="preserve"> -</t>
        </is>
      </c>
      <c r="M16" t="inlineStr">
        <is>
          <t xml:space="preserve"> -</t>
        </is>
      </c>
      <c r="N16" t="inlineStr">
        <is>
          <t xml:space="preserve"> -</t>
        </is>
      </c>
      <c r="O16" t="inlineStr">
        <is>
          <t xml:space="preserve"> -</t>
        </is>
      </c>
      <c r="P16" t="inlineStr">
        <is>
          <t xml:space="preserve"> -</t>
        </is>
      </c>
      <c r="Q16" t="inlineStr">
        <is>
          <t xml:space="preserve"> -</t>
        </is>
      </c>
      <c r="R16" t="inlineStr">
        <is>
          <t xml:space="preserve"> -</t>
        </is>
      </c>
      <c r="S16" t="inlineStr">
        <is>
          <t xml:space="preserve"> -</t>
        </is>
      </c>
      <c r="T16" t="inlineStr">
        <is>
          <t xml:space="preserve"> -</t>
        </is>
      </c>
      <c r="U16" t="inlineStr">
        <is>
          <t xml:space="preserve"> 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Bono Ley 4472 - Clase 3</t>
        </is>
      </c>
      <c r="B17" t="inlineStr">
        <is>
          <t xml:space="preserve"> -</t>
        </is>
      </c>
      <c r="C17" t="inlineStr">
        <is>
          <t xml:space="preserve"> -</t>
        </is>
      </c>
      <c r="D17" t="inlineStr">
        <is>
          <t xml:space="preserve"> -</t>
        </is>
      </c>
      <c r="E17" t="inlineStr">
        <is>
          <t xml:space="preserve"> -</t>
        </is>
      </c>
      <c r="F17" t="inlineStr">
        <is>
          <t xml:space="preserve"> -</t>
        </is>
      </c>
      <c r="G17" t="inlineStr">
        <is>
          <t xml:space="preserve"> -</t>
        </is>
      </c>
      <c r="H17" t="inlineStr">
        <is>
          <t xml:space="preserve"> -</t>
        </is>
      </c>
      <c r="I17" t="n">
        <v>100.0238</v>
      </c>
      <c r="J17" t="inlineStr">
        <is>
          <t xml:space="preserve"> -</t>
        </is>
      </c>
      <c r="K17" t="n">
        <v>101.194</v>
      </c>
      <c r="L17" t="inlineStr">
        <is>
          <t xml:space="preserve"> -</t>
        </is>
      </c>
      <c r="M17" t="n">
        <v>101.19</v>
      </c>
      <c r="N17" t="inlineStr">
        <is>
          <t xml:space="preserve"> -</t>
        </is>
      </c>
      <c r="O17" t="n">
        <v>75.8955</v>
      </c>
      <c r="P17" t="inlineStr">
        <is>
          <t xml:space="preserve"> -</t>
        </is>
      </c>
      <c r="Q17" t="n">
        <v>7.954700000000001</v>
      </c>
      <c r="R17" t="inlineStr">
        <is>
          <t xml:space="preserve"> -</t>
        </is>
      </c>
      <c r="S17" t="inlineStr">
        <is>
          <t xml:space="preserve"> -</t>
        </is>
      </c>
      <c r="T17" t="inlineStr">
        <is>
          <t xml:space="preserve"> -</t>
        </is>
      </c>
      <c r="U17" t="inlineStr">
        <is>
          <t xml:space="preserve"> 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Bono Leyes 4382 y 4885 - Clase 4</t>
        </is>
      </c>
      <c r="B18" t="inlineStr">
        <is>
          <t xml:space="preserve"> -</t>
        </is>
      </c>
      <c r="C18" t="inlineStr">
        <is>
          <t xml:space="preserve"> -</t>
        </is>
      </c>
      <c r="D18" t="inlineStr">
        <is>
          <t xml:space="preserve"> -</t>
        </is>
      </c>
      <c r="E18" t="inlineStr">
        <is>
          <t xml:space="preserve"> -</t>
        </is>
      </c>
      <c r="F18" t="inlineStr">
        <is>
          <t xml:space="preserve"> -</t>
        </is>
      </c>
      <c r="G18" t="inlineStr">
        <is>
          <t xml:space="preserve"> -</t>
        </is>
      </c>
      <c r="H18" t="inlineStr">
        <is>
          <t xml:space="preserve"> -</t>
        </is>
      </c>
      <c r="I18" t="n">
        <v>217.0746</v>
      </c>
      <c r="J18" t="inlineStr">
        <is>
          <t xml:space="preserve"> -</t>
        </is>
      </c>
      <c r="K18" t="n">
        <v>328.7193</v>
      </c>
      <c r="L18" t="inlineStr">
        <is>
          <t xml:space="preserve"> -</t>
        </is>
      </c>
      <c r="M18" t="n">
        <v>328.72</v>
      </c>
      <c r="N18" t="inlineStr">
        <is>
          <t xml:space="preserve"> -</t>
        </is>
      </c>
      <c r="O18" t="n">
        <v>273.9218</v>
      </c>
      <c r="P18" t="inlineStr">
        <is>
          <t xml:space="preserve"> -</t>
        </is>
      </c>
      <c r="Q18" t="n">
        <v>45.0228</v>
      </c>
      <c r="R18" t="inlineStr">
        <is>
          <t xml:space="preserve"> -</t>
        </is>
      </c>
      <c r="S18" t="n">
        <v>11.384</v>
      </c>
      <c r="T18" t="inlineStr">
        <is>
          <t xml:space="preserve"> -</t>
        </is>
      </c>
      <c r="U18" t="inlineStr">
        <is>
          <t xml:space="preserve"> 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Bono Ley 4810 - Clase 5</t>
        </is>
      </c>
      <c r="B19" t="inlineStr">
        <is>
          <t xml:space="preserve"> -</t>
        </is>
      </c>
      <c r="C19" t="inlineStr">
        <is>
          <t xml:space="preserve"> -</t>
        </is>
      </c>
      <c r="D19" t="inlineStr">
        <is>
          <t xml:space="preserve"> -</t>
        </is>
      </c>
      <c r="E19" t="inlineStr">
        <is>
          <t xml:space="preserve"> -</t>
        </is>
      </c>
      <c r="F19" t="inlineStr">
        <is>
          <t xml:space="preserve"> -</t>
        </is>
      </c>
      <c r="G19" t="inlineStr">
        <is>
          <t xml:space="preserve"> -</t>
        </is>
      </c>
      <c r="H19" t="inlineStr">
        <is>
          <t xml:space="preserve"> -</t>
        </is>
      </c>
      <c r="I19" t="n">
        <v>113.3026</v>
      </c>
      <c r="J19" t="inlineStr">
        <is>
          <t xml:space="preserve"> -</t>
        </is>
      </c>
      <c r="K19" t="n">
        <v>113.3026</v>
      </c>
      <c r="L19" t="inlineStr">
        <is>
          <t xml:space="preserve"> -</t>
        </is>
      </c>
      <c r="M19" t="n">
        <v>113.3</v>
      </c>
      <c r="N19" t="inlineStr">
        <is>
          <t xml:space="preserve"> -</t>
        </is>
      </c>
      <c r="O19" t="n">
        <v>113.3035</v>
      </c>
      <c r="P19" t="inlineStr">
        <is>
          <t xml:space="preserve"> -</t>
        </is>
      </c>
      <c r="Q19" t="n">
        <v>19.7128</v>
      </c>
      <c r="R19" t="inlineStr">
        <is>
          <t xml:space="preserve"> -</t>
        </is>
      </c>
      <c r="S19" t="n">
        <v>8.6778</v>
      </c>
      <c r="T19" t="inlineStr">
        <is>
          <t xml:space="preserve"> -</t>
        </is>
      </c>
      <c r="U19" t="inlineStr">
        <is>
          <t xml:space="preserve"> 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Bono Ley 4810 - Clase 6</t>
        </is>
      </c>
      <c r="B20" t="inlineStr">
        <is>
          <t xml:space="preserve"> -</t>
        </is>
      </c>
      <c r="C20" t="inlineStr">
        <is>
          <t xml:space="preserve"> -</t>
        </is>
      </c>
      <c r="D20" t="inlineStr">
        <is>
          <t xml:space="preserve"> -</t>
        </is>
      </c>
      <c r="E20" t="inlineStr">
        <is>
          <t xml:space="preserve"> -</t>
        </is>
      </c>
      <c r="F20" t="inlineStr">
        <is>
          <t xml:space="preserve"> -</t>
        </is>
      </c>
      <c r="G20" t="inlineStr">
        <is>
          <t xml:space="preserve"> -</t>
        </is>
      </c>
      <c r="H20" t="inlineStr">
        <is>
          <t xml:space="preserve"> -</t>
        </is>
      </c>
      <c r="I20" t="inlineStr">
        <is>
          <t xml:space="preserve"> -</t>
        </is>
      </c>
      <c r="J20" t="inlineStr">
        <is>
          <t xml:space="preserve"> -</t>
        </is>
      </c>
      <c r="K20" t="n">
        <v>148.0192</v>
      </c>
      <c r="L20" t="inlineStr">
        <is>
          <t xml:space="preserve"> -</t>
        </is>
      </c>
      <c r="M20" t="n">
        <v>148.02</v>
      </c>
      <c r="N20" t="inlineStr">
        <is>
          <t xml:space="preserve"> -</t>
        </is>
      </c>
      <c r="O20" t="n">
        <v>148.0192</v>
      </c>
      <c r="P20" t="inlineStr">
        <is>
          <t xml:space="preserve"> -</t>
        </is>
      </c>
      <c r="Q20" t="n">
        <v>123.3401</v>
      </c>
      <c r="R20" t="inlineStr">
        <is>
          <t>-</t>
        </is>
      </c>
      <c r="S20" t="n">
        <v>34.1713</v>
      </c>
      <c r="T20" t="inlineStr">
        <is>
          <t xml:space="preserve"> -</t>
        </is>
      </c>
      <c r="U20" t="n">
        <v>11.3814</v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A21" t="inlineStr">
        <is>
          <t>Bono Ley 4472 - Clase 7</t>
        </is>
      </c>
      <c r="B21" t="inlineStr">
        <is>
          <t xml:space="preserve"> -</t>
        </is>
      </c>
      <c r="C21" t="inlineStr">
        <is>
          <t xml:space="preserve"> -</t>
        </is>
      </c>
      <c r="D21" t="inlineStr">
        <is>
          <t xml:space="preserve"> -</t>
        </is>
      </c>
      <c r="E21" t="inlineStr">
        <is>
          <t xml:space="preserve"> -</t>
        </is>
      </c>
      <c r="F21" t="inlineStr">
        <is>
          <t xml:space="preserve"> -</t>
        </is>
      </c>
      <c r="G21" t="inlineStr">
        <is>
          <t xml:space="preserve"> -</t>
        </is>
      </c>
      <c r="H21" t="inlineStr">
        <is>
          <t xml:space="preserve"> -</t>
        </is>
      </c>
      <c r="I21" t="inlineStr">
        <is>
          <t xml:space="preserve"> -</t>
        </is>
      </c>
      <c r="J21" t="inlineStr">
        <is>
          <t xml:space="preserve"> -</t>
        </is>
      </c>
      <c r="K21" t="n">
        <v>100.6993</v>
      </c>
      <c r="L21" t="inlineStr">
        <is>
          <t xml:space="preserve"> -</t>
        </is>
      </c>
      <c r="M21" t="n">
        <v>100.7</v>
      </c>
      <c r="N21" t="inlineStr">
        <is>
          <t xml:space="preserve"> -</t>
        </is>
      </c>
      <c r="O21" t="inlineStr">
        <is>
          <t xml:space="preserve"> -</t>
        </is>
      </c>
      <c r="P21" t="inlineStr">
        <is>
          <t xml:space="preserve"> -</t>
        </is>
      </c>
      <c r="Q21" t="inlineStr">
        <is>
          <t xml:space="preserve"> -</t>
        </is>
      </c>
      <c r="R21" t="inlineStr">
        <is>
          <t xml:space="preserve"> -</t>
        </is>
      </c>
      <c r="S21" t="inlineStr">
        <is>
          <t xml:space="preserve"> -</t>
        </is>
      </c>
      <c r="T21" t="inlineStr">
        <is>
          <t xml:space="preserve"> -</t>
        </is>
      </c>
      <c r="U21" t="inlineStr">
        <is>
          <t xml:space="preserve"> 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</row>
    <row r="22">
      <c r="A22" t="inlineStr">
        <is>
          <t>Bono Ley 4472 - Clase 8</t>
        </is>
      </c>
      <c r="B22" t="inlineStr">
        <is>
          <t xml:space="preserve"> -</t>
        </is>
      </c>
      <c r="C22" t="inlineStr">
        <is>
          <t xml:space="preserve"> -</t>
        </is>
      </c>
      <c r="D22" t="inlineStr">
        <is>
          <t xml:space="preserve"> -</t>
        </is>
      </c>
      <c r="E22" t="inlineStr">
        <is>
          <t xml:space="preserve"> -</t>
        </is>
      </c>
      <c r="F22" t="inlineStr">
        <is>
          <t xml:space="preserve"> -</t>
        </is>
      </c>
      <c r="G22" t="inlineStr">
        <is>
          <t xml:space="preserve"> -</t>
        </is>
      </c>
      <c r="H22" t="inlineStr">
        <is>
          <t xml:space="preserve"> -</t>
        </is>
      </c>
      <c r="I22" t="inlineStr">
        <is>
          <t xml:space="preserve"> -</t>
        </is>
      </c>
      <c r="J22" t="inlineStr">
        <is>
          <t xml:space="preserve"> -</t>
        </is>
      </c>
      <c r="K22" t="n">
        <v>75.619</v>
      </c>
      <c r="L22" t="inlineStr">
        <is>
          <t xml:space="preserve"> -</t>
        </is>
      </c>
      <c r="M22" t="n">
        <v>75.62</v>
      </c>
      <c r="N22" t="inlineStr">
        <is>
          <t xml:space="preserve"> -</t>
        </is>
      </c>
      <c r="O22" t="inlineStr">
        <is>
          <t xml:space="preserve"> -</t>
        </is>
      </c>
      <c r="P22" t="inlineStr">
        <is>
          <t xml:space="preserve"> -</t>
        </is>
      </c>
      <c r="Q22" t="inlineStr">
        <is>
          <t xml:space="preserve"> -</t>
        </is>
      </c>
      <c r="R22" t="inlineStr">
        <is>
          <t xml:space="preserve"> -</t>
        </is>
      </c>
      <c r="S22" t="inlineStr">
        <is>
          <t xml:space="preserve"> -</t>
        </is>
      </c>
      <c r="T22" t="inlineStr">
        <is>
          <t xml:space="preserve"> -</t>
        </is>
      </c>
      <c r="U22" t="inlineStr">
        <is>
          <t xml:space="preserve"> 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</row>
    <row r="23">
      <c r="A23" t="inlineStr">
        <is>
          <t>Bono Ley 4472 - Clase 9</t>
        </is>
      </c>
      <c r="B23" t="inlineStr">
        <is>
          <t xml:space="preserve"> -</t>
        </is>
      </c>
      <c r="C23" t="inlineStr">
        <is>
          <t xml:space="preserve"> -</t>
        </is>
      </c>
      <c r="D23" t="inlineStr">
        <is>
          <t xml:space="preserve"> -</t>
        </is>
      </c>
      <c r="E23" t="inlineStr">
        <is>
          <t xml:space="preserve"> -</t>
        </is>
      </c>
      <c r="F23" t="inlineStr">
        <is>
          <t xml:space="preserve"> -</t>
        </is>
      </c>
      <c r="G23" t="inlineStr">
        <is>
          <t xml:space="preserve"> -</t>
        </is>
      </c>
      <c r="H23" t="inlineStr">
        <is>
          <t xml:space="preserve"> -</t>
        </is>
      </c>
      <c r="I23" t="inlineStr">
        <is>
          <t xml:space="preserve"> -</t>
        </is>
      </c>
      <c r="J23" t="n">
        <v>196.4753</v>
      </c>
      <c r="K23" t="inlineStr">
        <is>
          <t xml:space="preserve"> -</t>
        </is>
      </c>
      <c r="L23" t="n">
        <v>196.68</v>
      </c>
      <c r="M23" t="inlineStr">
        <is>
          <t xml:space="preserve"> -</t>
        </is>
      </c>
      <c r="N23" t="inlineStr">
        <is>
          <t xml:space="preserve"> -</t>
        </is>
      </c>
      <c r="O23" t="inlineStr">
        <is>
          <t xml:space="preserve"> -</t>
        </is>
      </c>
      <c r="P23" t="inlineStr">
        <is>
          <t xml:space="preserve"> -</t>
        </is>
      </c>
      <c r="Q23" t="inlineStr">
        <is>
          <t xml:space="preserve"> -</t>
        </is>
      </c>
      <c r="R23" t="inlineStr">
        <is>
          <t xml:space="preserve"> -</t>
        </is>
      </c>
      <c r="S23" t="inlineStr">
        <is>
          <t xml:space="preserve"> -</t>
        </is>
      </c>
      <c r="T23" t="inlineStr">
        <is>
          <t xml:space="preserve"> -</t>
        </is>
      </c>
      <c r="U23" t="inlineStr">
        <is>
          <t xml:space="preserve"> 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</row>
    <row r="24">
      <c r="A24" t="inlineStr">
        <is>
          <t>Bono Ley 4472 - Clase 10</t>
        </is>
      </c>
      <c r="B24" t="inlineStr">
        <is>
          <t xml:space="preserve"> -</t>
        </is>
      </c>
      <c r="C24" t="inlineStr">
        <is>
          <t xml:space="preserve"> -</t>
        </is>
      </c>
      <c r="D24" t="inlineStr">
        <is>
          <t xml:space="preserve"> -</t>
        </is>
      </c>
      <c r="E24" t="inlineStr">
        <is>
          <t xml:space="preserve"> -</t>
        </is>
      </c>
      <c r="F24" t="inlineStr">
        <is>
          <t xml:space="preserve"> -</t>
        </is>
      </c>
      <c r="G24" t="inlineStr">
        <is>
          <t xml:space="preserve"> -</t>
        </is>
      </c>
      <c r="H24" t="inlineStr">
        <is>
          <t xml:space="preserve"> -</t>
        </is>
      </c>
      <c r="I24" t="inlineStr">
        <is>
          <t xml:space="preserve"> -</t>
        </is>
      </c>
      <c r="J24" t="inlineStr">
        <is>
          <t xml:space="preserve"> -</t>
        </is>
      </c>
      <c r="K24" t="n">
        <v>64.65809999999999</v>
      </c>
      <c r="L24" t="inlineStr">
        <is>
          <t xml:space="preserve"> -</t>
        </is>
      </c>
      <c r="M24" t="n">
        <v>64.66</v>
      </c>
      <c r="N24" t="inlineStr">
        <is>
          <t xml:space="preserve"> -</t>
        </is>
      </c>
      <c r="O24" t="inlineStr">
        <is>
          <t xml:space="preserve"> -</t>
        </is>
      </c>
      <c r="P24" t="inlineStr">
        <is>
          <t xml:space="preserve"> -</t>
        </is>
      </c>
      <c r="Q24" t="inlineStr">
        <is>
          <t xml:space="preserve"> -</t>
        </is>
      </c>
      <c r="R24" t="inlineStr">
        <is>
          <t xml:space="preserve"> -</t>
        </is>
      </c>
      <c r="S24" t="inlineStr">
        <is>
          <t xml:space="preserve"> -</t>
        </is>
      </c>
      <c r="T24" t="inlineStr">
        <is>
          <t xml:space="preserve"> -</t>
        </is>
      </c>
      <c r="U24" t="inlineStr">
        <is>
          <t xml:space="preserve"> 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</row>
    <row r="25">
      <c r="A25" t="inlineStr">
        <is>
          <t>Bono Ley 4472 - Clase 11</t>
        </is>
      </c>
      <c r="B25" t="inlineStr">
        <is>
          <t xml:space="preserve"> -</t>
        </is>
      </c>
      <c r="C25" t="inlineStr">
        <is>
          <t xml:space="preserve"> -</t>
        </is>
      </c>
      <c r="D25" t="inlineStr">
        <is>
          <t xml:space="preserve"> -</t>
        </is>
      </c>
      <c r="E25" t="inlineStr">
        <is>
          <t xml:space="preserve"> -</t>
        </is>
      </c>
      <c r="F25" t="inlineStr">
        <is>
          <t xml:space="preserve"> -</t>
        </is>
      </c>
      <c r="G25" t="inlineStr">
        <is>
          <t xml:space="preserve"> -</t>
        </is>
      </c>
      <c r="H25" t="inlineStr">
        <is>
          <t xml:space="preserve"> -</t>
        </is>
      </c>
      <c r="I25" t="inlineStr">
        <is>
          <t xml:space="preserve"> -</t>
        </is>
      </c>
      <c r="J25" t="n">
        <v>177.8867</v>
      </c>
      <c r="K25" t="inlineStr">
        <is>
          <t xml:space="preserve"> -</t>
        </is>
      </c>
      <c r="L25" t="n">
        <v>178.93</v>
      </c>
      <c r="M25" t="n">
        <v>0</v>
      </c>
      <c r="N25" t="inlineStr">
        <is>
          <t xml:space="preserve"> -</t>
        </is>
      </c>
      <c r="O25" t="inlineStr">
        <is>
          <t xml:space="preserve"> -</t>
        </is>
      </c>
      <c r="P25" t="inlineStr">
        <is>
          <t xml:space="preserve"> -</t>
        </is>
      </c>
      <c r="Q25" t="inlineStr">
        <is>
          <t xml:space="preserve"> -</t>
        </is>
      </c>
      <c r="R25" t="inlineStr">
        <is>
          <t xml:space="preserve"> -</t>
        </is>
      </c>
      <c r="S25" t="inlineStr">
        <is>
          <t xml:space="preserve"> -</t>
        </is>
      </c>
      <c r="T25" t="inlineStr">
        <is>
          <t xml:space="preserve"> -</t>
        </is>
      </c>
      <c r="U25" t="inlineStr">
        <is>
          <t xml:space="preserve"> 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</row>
    <row r="26">
      <c r="A26" t="inlineStr">
        <is>
          <t>Bono Ley 4472 - Clase 12</t>
        </is>
      </c>
      <c r="B26" t="inlineStr">
        <is>
          <t xml:space="preserve"> -</t>
        </is>
      </c>
      <c r="C26" t="inlineStr">
        <is>
          <t xml:space="preserve"> -</t>
        </is>
      </c>
      <c r="D26" t="inlineStr">
        <is>
          <t xml:space="preserve"> -</t>
        </is>
      </c>
      <c r="E26" t="inlineStr">
        <is>
          <t xml:space="preserve"> -</t>
        </is>
      </c>
      <c r="F26" t="inlineStr">
        <is>
          <t xml:space="preserve"> -</t>
        </is>
      </c>
      <c r="G26" t="inlineStr">
        <is>
          <t xml:space="preserve"> -</t>
        </is>
      </c>
      <c r="H26" t="inlineStr">
        <is>
          <t xml:space="preserve"> -</t>
        </is>
      </c>
      <c r="I26" t="inlineStr">
        <is>
          <t xml:space="preserve"> -</t>
        </is>
      </c>
      <c r="J26" t="inlineStr">
        <is>
          <t xml:space="preserve"> -</t>
        </is>
      </c>
      <c r="K26" t="inlineStr">
        <is>
          <t xml:space="preserve"> -</t>
        </is>
      </c>
      <c r="L26" t="inlineStr">
        <is>
          <t xml:space="preserve"> -</t>
        </is>
      </c>
      <c r="M26" t="n">
        <v>37.3</v>
      </c>
      <c r="N26" t="inlineStr">
        <is>
          <t xml:space="preserve"> -</t>
        </is>
      </c>
      <c r="O26" t="inlineStr">
        <is>
          <t xml:space="preserve"> -</t>
        </is>
      </c>
      <c r="P26" t="inlineStr">
        <is>
          <t xml:space="preserve"> -</t>
        </is>
      </c>
      <c r="Q26" t="inlineStr">
        <is>
          <t xml:space="preserve"> -</t>
        </is>
      </c>
      <c r="R26" t="inlineStr">
        <is>
          <t xml:space="preserve"> -</t>
        </is>
      </c>
      <c r="S26" t="inlineStr">
        <is>
          <t xml:space="preserve"> -</t>
        </is>
      </c>
      <c r="T26" t="inlineStr">
        <is>
          <t xml:space="preserve"> -</t>
        </is>
      </c>
      <c r="U26" t="inlineStr">
        <is>
          <t xml:space="preserve"> 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</row>
    <row r="27">
      <c r="A27" t="inlineStr">
        <is>
          <t>Bono Ley 4472 - Clase 13</t>
        </is>
      </c>
      <c r="B27" t="inlineStr">
        <is>
          <t xml:space="preserve"> -</t>
        </is>
      </c>
      <c r="C27" t="inlineStr">
        <is>
          <t xml:space="preserve"> -</t>
        </is>
      </c>
      <c r="D27" t="inlineStr">
        <is>
          <t xml:space="preserve"> -</t>
        </is>
      </c>
      <c r="E27" t="inlineStr">
        <is>
          <t xml:space="preserve"> -</t>
        </is>
      </c>
      <c r="F27" t="inlineStr">
        <is>
          <t xml:space="preserve"> -</t>
        </is>
      </c>
      <c r="G27" t="inlineStr">
        <is>
          <t xml:space="preserve"> -</t>
        </is>
      </c>
      <c r="H27" t="inlineStr">
        <is>
          <t xml:space="preserve"> -</t>
        </is>
      </c>
      <c r="I27" t="inlineStr">
        <is>
          <t xml:space="preserve"> -</t>
        </is>
      </c>
      <c r="J27" t="inlineStr">
        <is>
          <t xml:space="preserve"> -</t>
        </is>
      </c>
      <c r="K27" t="inlineStr">
        <is>
          <t xml:space="preserve"> -</t>
        </is>
      </c>
      <c r="L27" t="n">
        <v>471.19</v>
      </c>
      <c r="M27" t="inlineStr">
        <is>
          <t>-</t>
        </is>
      </c>
      <c r="N27" t="inlineStr">
        <is>
          <t xml:space="preserve"> -</t>
        </is>
      </c>
      <c r="O27" t="inlineStr">
        <is>
          <t xml:space="preserve"> -</t>
        </is>
      </c>
      <c r="P27" t="inlineStr">
        <is>
          <t xml:space="preserve"> -</t>
        </is>
      </c>
      <c r="Q27" t="inlineStr">
        <is>
          <t xml:space="preserve"> -</t>
        </is>
      </c>
      <c r="R27" t="inlineStr">
        <is>
          <t xml:space="preserve"> -</t>
        </is>
      </c>
      <c r="S27" t="inlineStr">
        <is>
          <t xml:space="preserve"> -</t>
        </is>
      </c>
      <c r="T27" t="inlineStr">
        <is>
          <t xml:space="preserve"> -</t>
        </is>
      </c>
      <c r="U27" t="inlineStr">
        <is>
          <t xml:space="preserve"> 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</row>
    <row r="28">
      <c r="A28" t="inlineStr">
        <is>
          <t>Bono Ley 4472 - Clase 14</t>
        </is>
      </c>
      <c r="B28" t="inlineStr">
        <is>
          <t xml:space="preserve"> -</t>
        </is>
      </c>
      <c r="C28" t="inlineStr">
        <is>
          <t xml:space="preserve"> -</t>
        </is>
      </c>
      <c r="D28" t="inlineStr">
        <is>
          <t xml:space="preserve"> -</t>
        </is>
      </c>
      <c r="E28" t="inlineStr">
        <is>
          <t xml:space="preserve"> -</t>
        </is>
      </c>
      <c r="F28" t="inlineStr">
        <is>
          <t xml:space="preserve"> -</t>
        </is>
      </c>
      <c r="G28" t="inlineStr">
        <is>
          <t xml:space="preserve"> -</t>
        </is>
      </c>
      <c r="H28" t="inlineStr">
        <is>
          <t xml:space="preserve"> -</t>
        </is>
      </c>
      <c r="I28" t="inlineStr">
        <is>
          <t xml:space="preserve"> -</t>
        </is>
      </c>
      <c r="J28" t="inlineStr">
        <is>
          <t xml:space="preserve"> -</t>
        </is>
      </c>
      <c r="K28" t="inlineStr">
        <is>
          <t xml:space="preserve"> -</t>
        </is>
      </c>
      <c r="L28" t="n">
        <v>105.75</v>
      </c>
      <c r="M28" t="inlineStr">
        <is>
          <t xml:space="preserve"> -</t>
        </is>
      </c>
      <c r="N28" t="n">
        <v>105.096</v>
      </c>
      <c r="O28" t="inlineStr">
        <is>
          <t xml:space="preserve"> -</t>
        </is>
      </c>
      <c r="P28" t="n">
        <v>14.7578</v>
      </c>
      <c r="Q28" t="inlineStr">
        <is>
          <t xml:space="preserve"> -</t>
        </is>
      </c>
      <c r="R28" t="inlineStr">
        <is>
          <t xml:space="preserve"> -</t>
        </is>
      </c>
      <c r="S28" t="inlineStr">
        <is>
          <t xml:space="preserve"> -</t>
        </is>
      </c>
      <c r="T28" t="inlineStr">
        <is>
          <t xml:space="preserve"> -</t>
        </is>
      </c>
      <c r="U28" t="inlineStr">
        <is>
          <t xml:space="preserve"> 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</row>
    <row r="29">
      <c r="A29" t="inlineStr">
        <is>
          <t>Bono Ley 4472 - Clase 15</t>
        </is>
      </c>
      <c r="B29" t="inlineStr">
        <is>
          <t xml:space="preserve"> -</t>
        </is>
      </c>
      <c r="C29" t="inlineStr">
        <is>
          <t xml:space="preserve"> -</t>
        </is>
      </c>
      <c r="D29" t="inlineStr">
        <is>
          <t xml:space="preserve"> -</t>
        </is>
      </c>
      <c r="E29" t="inlineStr">
        <is>
          <t xml:space="preserve"> -</t>
        </is>
      </c>
      <c r="F29" t="inlineStr">
        <is>
          <t xml:space="preserve"> -</t>
        </is>
      </c>
      <c r="G29" t="inlineStr">
        <is>
          <t xml:space="preserve"> -</t>
        </is>
      </c>
      <c r="H29" t="inlineStr">
        <is>
          <t xml:space="preserve"> -</t>
        </is>
      </c>
      <c r="I29" t="inlineStr">
        <is>
          <t xml:space="preserve"> -</t>
        </is>
      </c>
      <c r="J29" t="inlineStr">
        <is>
          <t xml:space="preserve"> -</t>
        </is>
      </c>
      <c r="K29" t="inlineStr">
        <is>
          <t xml:space="preserve"> -</t>
        </is>
      </c>
      <c r="L29" t="n">
        <v>263.51</v>
      </c>
      <c r="M29" t="inlineStr">
        <is>
          <t xml:space="preserve"> -</t>
        </is>
      </c>
      <c r="N29" t="n">
        <v>158.0583</v>
      </c>
      <c r="O29" t="inlineStr">
        <is>
          <t xml:space="preserve"> -</t>
        </is>
      </c>
      <c r="P29" t="n">
        <v>21.9288</v>
      </c>
      <c r="Q29" t="inlineStr">
        <is>
          <t xml:space="preserve"> -</t>
        </is>
      </c>
      <c r="R29" t="inlineStr">
        <is>
          <t xml:space="preserve"> -</t>
        </is>
      </c>
      <c r="S29" t="inlineStr">
        <is>
          <t xml:space="preserve"> -</t>
        </is>
      </c>
      <c r="T29" t="inlineStr">
        <is>
          <t xml:space="preserve"> -</t>
        </is>
      </c>
      <c r="U29" t="inlineStr">
        <is>
          <t xml:space="preserve"> 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</row>
    <row r="30">
      <c r="A30" t="inlineStr">
        <is>
          <t>Bono Ley 5496 - Clase 16</t>
        </is>
      </c>
      <c r="B30" t="inlineStr">
        <is>
          <t xml:space="preserve"> -</t>
        </is>
      </c>
      <c r="C30" t="inlineStr">
        <is>
          <t xml:space="preserve"> -</t>
        </is>
      </c>
      <c r="D30" t="inlineStr">
        <is>
          <t xml:space="preserve"> -</t>
        </is>
      </c>
      <c r="E30" t="inlineStr">
        <is>
          <t xml:space="preserve"> -</t>
        </is>
      </c>
      <c r="F30" t="inlineStr">
        <is>
          <t xml:space="preserve"> -</t>
        </is>
      </c>
      <c r="G30" t="inlineStr">
        <is>
          <t xml:space="preserve"> -</t>
        </is>
      </c>
      <c r="H30" t="inlineStr">
        <is>
          <t xml:space="preserve"> -</t>
        </is>
      </c>
      <c r="I30" t="inlineStr">
        <is>
          <t xml:space="preserve"> -</t>
        </is>
      </c>
      <c r="J30" t="inlineStr">
        <is>
          <t xml:space="preserve"> -</t>
        </is>
      </c>
      <c r="K30" t="inlineStr">
        <is>
          <t xml:space="preserve"> -</t>
        </is>
      </c>
      <c r="L30" t="inlineStr">
        <is>
          <t xml:space="preserve"> -</t>
        </is>
      </c>
      <c r="M30" t="inlineStr">
        <is>
          <t xml:space="preserve"> -</t>
        </is>
      </c>
      <c r="N30" t="n">
        <v>987.4806</v>
      </c>
      <c r="O30" t="inlineStr">
        <is>
          <t xml:space="preserve"> -</t>
        </is>
      </c>
      <c r="P30" t="n">
        <v>265.8611</v>
      </c>
      <c r="Q30" t="inlineStr">
        <is>
          <t xml:space="preserve"> -</t>
        </is>
      </c>
      <c r="R30" t="n">
        <v>207.8383</v>
      </c>
      <c r="S30" t="inlineStr">
        <is>
          <t xml:space="preserve"> -</t>
        </is>
      </c>
      <c r="T30" t="n">
        <v>68.62140000000001</v>
      </c>
      <c r="U30" t="inlineStr">
        <is>
          <t xml:space="preserve"> 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</row>
    <row r="31">
      <c r="A31" t="inlineStr">
        <is>
          <t>Bono Ley 5491 - Clase 17</t>
        </is>
      </c>
      <c r="B31" t="inlineStr">
        <is>
          <t xml:space="preserve"> -</t>
        </is>
      </c>
      <c r="C31" t="inlineStr">
        <is>
          <t xml:space="preserve"> -</t>
        </is>
      </c>
      <c r="D31" t="inlineStr">
        <is>
          <t xml:space="preserve"> -</t>
        </is>
      </c>
      <c r="E31" t="inlineStr">
        <is>
          <t xml:space="preserve"> -</t>
        </is>
      </c>
      <c r="F31" t="inlineStr">
        <is>
          <t xml:space="preserve"> -</t>
        </is>
      </c>
      <c r="G31" t="inlineStr">
        <is>
          <t xml:space="preserve"> -</t>
        </is>
      </c>
      <c r="H31" t="inlineStr">
        <is>
          <t xml:space="preserve"> -</t>
        </is>
      </c>
      <c r="I31" t="inlineStr">
        <is>
          <t xml:space="preserve"> -</t>
        </is>
      </c>
      <c r="J31" t="inlineStr">
        <is>
          <t xml:space="preserve"> -</t>
        </is>
      </c>
      <c r="K31" t="inlineStr">
        <is>
          <t xml:space="preserve"> -</t>
        </is>
      </c>
      <c r="L31" t="inlineStr">
        <is>
          <t xml:space="preserve"> -</t>
        </is>
      </c>
      <c r="M31" t="inlineStr">
        <is>
          <t xml:space="preserve"> -</t>
        </is>
      </c>
      <c r="N31" t="n">
        <v>374.0368</v>
      </c>
      <c r="O31" t="inlineStr">
        <is>
          <t xml:space="preserve"> -</t>
        </is>
      </c>
      <c r="P31" t="inlineStr">
        <is>
          <t>-</t>
        </is>
      </c>
      <c r="Q31" t="inlineStr">
        <is>
          <t xml:space="preserve"> -</t>
        </is>
      </c>
      <c r="R31" t="inlineStr">
        <is>
          <t>-</t>
        </is>
      </c>
      <c r="S31" t="inlineStr">
        <is>
          <t xml:space="preserve"> -</t>
        </is>
      </c>
      <c r="T31" t="inlineStr">
        <is>
          <t xml:space="preserve"> -</t>
        </is>
      </c>
      <c r="U31" t="inlineStr">
        <is>
          <t xml:space="preserve"> 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</row>
    <row r="32">
      <c r="A32" t="inlineStr">
        <is>
          <t>Bono Ley 5491 - Clase 18</t>
        </is>
      </c>
      <c r="B32" t="inlineStr">
        <is>
          <t xml:space="preserve"> -</t>
        </is>
      </c>
      <c r="C32" t="inlineStr">
        <is>
          <t xml:space="preserve"> -</t>
        </is>
      </c>
      <c r="D32" t="inlineStr">
        <is>
          <t xml:space="preserve"> -</t>
        </is>
      </c>
      <c r="E32" t="inlineStr">
        <is>
          <t xml:space="preserve"> -</t>
        </is>
      </c>
      <c r="F32" t="inlineStr">
        <is>
          <t xml:space="preserve"> -</t>
        </is>
      </c>
      <c r="G32" t="inlineStr">
        <is>
          <t xml:space="preserve"> -</t>
        </is>
      </c>
      <c r="H32" t="inlineStr">
        <is>
          <t xml:space="preserve"> -</t>
        </is>
      </c>
      <c r="I32" t="inlineStr">
        <is>
          <t xml:space="preserve"> -</t>
        </is>
      </c>
      <c r="J32" t="inlineStr">
        <is>
          <t xml:space="preserve"> -</t>
        </is>
      </c>
      <c r="K32" t="inlineStr">
        <is>
          <t xml:space="preserve"> -</t>
        </is>
      </c>
      <c r="L32" t="inlineStr">
        <is>
          <t xml:space="preserve"> -</t>
        </is>
      </c>
      <c r="M32" t="inlineStr">
        <is>
          <t xml:space="preserve"> -</t>
        </is>
      </c>
      <c r="N32" t="n">
        <v>1756.0302</v>
      </c>
      <c r="O32" t="inlineStr">
        <is>
          <t xml:space="preserve"> -</t>
        </is>
      </c>
      <c r="P32" t="n">
        <v>805.2030999999999</v>
      </c>
      <c r="Q32" t="inlineStr">
        <is>
          <t xml:space="preserve"> -</t>
        </is>
      </c>
      <c r="R32" t="n">
        <v>525.878</v>
      </c>
      <c r="S32" t="inlineStr">
        <is>
          <t xml:space="preserve"> -</t>
        </is>
      </c>
      <c r="T32" t="n">
        <v>173.8534</v>
      </c>
      <c r="U32" t="inlineStr">
        <is>
          <t xml:space="preserve"> 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</row>
    <row r="33">
      <c r="A33" t="inlineStr">
        <is>
          <t>Bono Ley 5491 - Clase 19</t>
        </is>
      </c>
      <c r="B33" t="inlineStr">
        <is>
          <t xml:space="preserve"> -</t>
        </is>
      </c>
      <c r="C33" t="inlineStr">
        <is>
          <t xml:space="preserve"> -</t>
        </is>
      </c>
      <c r="D33" t="inlineStr">
        <is>
          <t xml:space="preserve"> -</t>
        </is>
      </c>
      <c r="E33" t="inlineStr">
        <is>
          <t xml:space="preserve"> -</t>
        </is>
      </c>
      <c r="F33" t="inlineStr">
        <is>
          <t xml:space="preserve"> -</t>
        </is>
      </c>
      <c r="G33" t="inlineStr">
        <is>
          <t xml:space="preserve"> -</t>
        </is>
      </c>
      <c r="H33" t="inlineStr">
        <is>
          <t xml:space="preserve"> -</t>
        </is>
      </c>
      <c r="I33" t="inlineStr">
        <is>
          <t xml:space="preserve"> -</t>
        </is>
      </c>
      <c r="J33" t="inlineStr">
        <is>
          <t xml:space="preserve"> -</t>
        </is>
      </c>
      <c r="K33" t="inlineStr">
        <is>
          <t xml:space="preserve"> -</t>
        </is>
      </c>
      <c r="L33" t="inlineStr">
        <is>
          <t xml:space="preserve"> -</t>
        </is>
      </c>
      <c r="M33" t="inlineStr">
        <is>
          <t xml:space="preserve"> -</t>
        </is>
      </c>
      <c r="N33" t="inlineStr">
        <is>
          <t xml:space="preserve"> -</t>
        </is>
      </c>
      <c r="O33" t="inlineStr">
        <is>
          <t xml:space="preserve"> -</t>
        </is>
      </c>
      <c r="P33" t="n">
        <v>164.2754</v>
      </c>
      <c r="Q33" t="inlineStr">
        <is>
          <t xml:space="preserve"> -</t>
        </is>
      </c>
      <c r="R33" t="inlineStr">
        <is>
          <t xml:space="preserve"> -</t>
        </is>
      </c>
      <c r="S33" t="inlineStr">
        <is>
          <t xml:space="preserve"> -</t>
        </is>
      </c>
      <c r="T33" t="inlineStr">
        <is>
          <t xml:space="preserve"> -</t>
        </is>
      </c>
      <c r="U33" t="inlineStr">
        <is>
          <t xml:space="preserve"> 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</row>
    <row r="34">
      <c r="A34" t="inlineStr">
        <is>
          <t>Bono Ley 5491 - Clase 20</t>
        </is>
      </c>
      <c r="B34" t="inlineStr">
        <is>
          <t xml:space="preserve"> -</t>
        </is>
      </c>
      <c r="C34" t="inlineStr">
        <is>
          <t xml:space="preserve"> -</t>
        </is>
      </c>
      <c r="D34" t="inlineStr">
        <is>
          <t xml:space="preserve"> -</t>
        </is>
      </c>
      <c r="E34" t="inlineStr">
        <is>
          <t xml:space="preserve"> -</t>
        </is>
      </c>
      <c r="F34" t="inlineStr">
        <is>
          <t xml:space="preserve"> -</t>
        </is>
      </c>
      <c r="G34" t="inlineStr">
        <is>
          <t xml:space="preserve"> -</t>
        </is>
      </c>
      <c r="H34" t="inlineStr">
        <is>
          <t xml:space="preserve"> -</t>
        </is>
      </c>
      <c r="I34" t="inlineStr">
        <is>
          <t xml:space="preserve"> -</t>
        </is>
      </c>
      <c r="J34" t="inlineStr">
        <is>
          <t xml:space="preserve"> -</t>
        </is>
      </c>
      <c r="K34" t="inlineStr">
        <is>
          <t xml:space="preserve"> -</t>
        </is>
      </c>
      <c r="L34" t="inlineStr">
        <is>
          <t xml:space="preserve"> -</t>
        </is>
      </c>
      <c r="M34" t="inlineStr">
        <is>
          <t xml:space="preserve"> -</t>
        </is>
      </c>
      <c r="N34" t="inlineStr">
        <is>
          <t xml:space="preserve"> -</t>
        </is>
      </c>
      <c r="O34" t="inlineStr">
        <is>
          <t xml:space="preserve"> -</t>
        </is>
      </c>
      <c r="P34" t="n">
        <v>3904.4523</v>
      </c>
      <c r="Q34" t="inlineStr">
        <is>
          <t xml:space="preserve"> -</t>
        </is>
      </c>
      <c r="R34" t="n">
        <v>4099.7298</v>
      </c>
      <c r="S34" t="inlineStr">
        <is>
          <t xml:space="preserve"> -</t>
        </is>
      </c>
      <c r="T34" t="n">
        <v>10928.847</v>
      </c>
      <c r="U34" t="inlineStr">
        <is>
          <t xml:space="preserve"> -</t>
        </is>
      </c>
      <c r="V34" t="n">
        <v>20784.6886</v>
      </c>
      <c r="W34" t="inlineStr">
        <is>
          <t>-</t>
        </is>
      </c>
      <c r="X34" t="n">
        <v>10772.1</v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</row>
    <row r="35">
      <c r="A35" t="inlineStr">
        <is>
          <t>Bono Leyes 5541-5725 y 5727 - Clase 22</t>
        </is>
      </c>
      <c r="B35" t="inlineStr">
        <is>
          <t xml:space="preserve"> -</t>
        </is>
      </c>
      <c r="C35" t="inlineStr">
        <is>
          <t xml:space="preserve"> -</t>
        </is>
      </c>
      <c r="D35" t="inlineStr">
        <is>
          <t xml:space="preserve"> -</t>
        </is>
      </c>
      <c r="E35" t="inlineStr">
        <is>
          <t xml:space="preserve"> -</t>
        </is>
      </c>
      <c r="F35" t="inlineStr">
        <is>
          <t xml:space="preserve"> -</t>
        </is>
      </c>
      <c r="G35" t="inlineStr">
        <is>
          <t xml:space="preserve"> -</t>
        </is>
      </c>
      <c r="H35" t="inlineStr">
        <is>
          <t xml:space="preserve"> -</t>
        </is>
      </c>
      <c r="I35" t="inlineStr">
        <is>
          <t xml:space="preserve"> -</t>
        </is>
      </c>
      <c r="J35" t="inlineStr">
        <is>
          <t xml:space="preserve"> -</t>
        </is>
      </c>
      <c r="K35" t="inlineStr">
        <is>
          <t xml:space="preserve"> -</t>
        </is>
      </c>
      <c r="L35" t="inlineStr">
        <is>
          <t xml:space="preserve"> -</t>
        </is>
      </c>
      <c r="M35" t="inlineStr">
        <is>
          <t xml:space="preserve"> -</t>
        </is>
      </c>
      <c r="N35" t="inlineStr">
        <is>
          <t xml:space="preserve"> -</t>
        </is>
      </c>
      <c r="O35" t="inlineStr">
        <is>
          <t xml:space="preserve"> -</t>
        </is>
      </c>
      <c r="P35" t="n">
        <v>9449.514599999999</v>
      </c>
      <c r="Q35" t="inlineStr">
        <is>
          <t xml:space="preserve"> -</t>
        </is>
      </c>
      <c r="R35" t="n">
        <v>9465.205</v>
      </c>
      <c r="S35" t="inlineStr">
        <is>
          <t xml:space="preserve"> -</t>
        </is>
      </c>
      <c r="T35" t="n">
        <v>22714.4914</v>
      </c>
      <c r="U35" t="inlineStr">
        <is>
          <t xml:space="preserve"> -</t>
        </is>
      </c>
      <c r="V35" t="n">
        <v>34299.6828</v>
      </c>
      <c r="W35" t="inlineStr">
        <is>
          <t>-</t>
        </is>
      </c>
      <c r="X35" t="n">
        <v>43603.4</v>
      </c>
      <c r="Y35" t="inlineStr">
        <is>
          <t>-</t>
        </is>
      </c>
      <c r="Z35" t="n">
        <v>26003.2</v>
      </c>
      <c r="AA35" t="inlineStr">
        <is>
          <t>-</t>
        </is>
      </c>
      <c r="AB35" t="n">
        <v>26003.3</v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</row>
    <row r="36">
      <c r="A36" t="inlineStr">
        <is>
          <t>Bono Ley 5876 - Clase 23</t>
        </is>
      </c>
      <c r="B36" t="inlineStr">
        <is>
          <t xml:space="preserve"> -</t>
        </is>
      </c>
      <c r="C36" t="inlineStr">
        <is>
          <t xml:space="preserve"> -</t>
        </is>
      </c>
      <c r="D36" t="inlineStr">
        <is>
          <t xml:space="preserve"> -</t>
        </is>
      </c>
      <c r="E36" t="inlineStr">
        <is>
          <t xml:space="preserve"> -</t>
        </is>
      </c>
      <c r="F36" t="inlineStr">
        <is>
          <t xml:space="preserve"> -</t>
        </is>
      </c>
      <c r="G36" t="inlineStr">
        <is>
          <t xml:space="preserve"> -</t>
        </is>
      </c>
      <c r="H36" t="inlineStr">
        <is>
          <t xml:space="preserve"> -</t>
        </is>
      </c>
      <c r="I36" t="inlineStr">
        <is>
          <t xml:space="preserve"> -</t>
        </is>
      </c>
      <c r="J36" t="inlineStr">
        <is>
          <t xml:space="preserve"> -</t>
        </is>
      </c>
      <c r="K36" t="inlineStr">
        <is>
          <t xml:space="preserve"> -</t>
        </is>
      </c>
      <c r="L36" t="inlineStr">
        <is>
          <t xml:space="preserve"> -</t>
        </is>
      </c>
      <c r="M36" t="inlineStr">
        <is>
          <t xml:space="preserve"> -</t>
        </is>
      </c>
      <c r="N36" t="inlineStr">
        <is>
          <t xml:space="preserve"> -</t>
        </is>
      </c>
      <c r="O36" t="inlineStr">
        <is>
          <t xml:space="preserve"> -</t>
        </is>
      </c>
      <c r="P36" t="n">
        <v>7288.3968</v>
      </c>
      <c r="Q36" t="inlineStr">
        <is>
          <t xml:space="preserve"> -</t>
        </is>
      </c>
      <c r="R36" t="n">
        <v>14005.7112</v>
      </c>
      <c r="S36" t="inlineStr">
        <is>
          <t xml:space="preserve"> -</t>
        </is>
      </c>
      <c r="T36" t="n">
        <v>13897.1484</v>
      </c>
      <c r="U36" t="inlineStr">
        <is>
          <t xml:space="preserve"> -</t>
        </is>
      </c>
      <c r="V36" t="n">
        <v>13811.2963</v>
      </c>
      <c r="W36" t="inlineStr">
        <is>
          <t>-</t>
        </is>
      </c>
      <c r="X36" t="n">
        <v>13262.5</v>
      </c>
      <c r="Y36" t="inlineStr">
        <is>
          <t>-</t>
        </is>
      </c>
      <c r="Z36" t="n">
        <v>30809.9</v>
      </c>
      <c r="AA36" t="inlineStr">
        <is>
          <t>-</t>
        </is>
      </c>
      <c r="AB36" t="n">
        <v>30809.9</v>
      </c>
      <c r="AC36" t="inlineStr">
        <is>
          <t>-</t>
        </is>
      </c>
      <c r="AD36" t="n">
        <v>30810</v>
      </c>
      <c r="AE36" t="inlineStr">
        <is>
          <t>-</t>
        </is>
      </c>
    </row>
    <row r="38">
      <c r="B38">
        <f>B2</f>
        <v/>
      </c>
      <c r="C38">
        <f>B38</f>
        <v/>
      </c>
      <c r="D38">
        <f>D2</f>
        <v/>
      </c>
      <c r="E38">
        <f>D38</f>
        <v/>
      </c>
      <c r="F38">
        <f>F2</f>
        <v/>
      </c>
      <c r="G38">
        <f>F38</f>
        <v/>
      </c>
      <c r="H38">
        <f>H2</f>
        <v/>
      </c>
      <c r="I38">
        <f>H38</f>
        <v/>
      </c>
      <c r="J38">
        <f>J2</f>
        <v/>
      </c>
      <c r="K38">
        <f>J38</f>
        <v/>
      </c>
      <c r="L38">
        <f>L2</f>
        <v/>
      </c>
      <c r="M38">
        <f>L38</f>
        <v/>
      </c>
      <c r="N38">
        <f>N2</f>
        <v/>
      </c>
      <c r="O38">
        <f>N38</f>
        <v/>
      </c>
      <c r="P38">
        <f>P2</f>
        <v/>
      </c>
      <c r="Q38">
        <f>P38</f>
        <v/>
      </c>
      <c r="R38">
        <f>R2</f>
        <v/>
      </c>
      <c r="S38">
        <f>R38</f>
        <v/>
      </c>
      <c r="T38">
        <f>T2</f>
        <v/>
      </c>
      <c r="U38">
        <f>T38</f>
        <v/>
      </c>
      <c r="V38">
        <f>V2</f>
        <v/>
      </c>
      <c r="W38">
        <f>V38</f>
        <v/>
      </c>
      <c r="X38">
        <f>X2</f>
        <v/>
      </c>
      <c r="Y38">
        <f>X38</f>
        <v/>
      </c>
      <c r="Z38">
        <f>Z2</f>
        <v/>
      </c>
      <c r="AA38">
        <f>Z38</f>
        <v/>
      </c>
      <c r="AB38">
        <f>AB2</f>
        <v/>
      </c>
      <c r="AC38">
        <f>AB38</f>
        <v/>
      </c>
      <c r="AD38">
        <f>AD2</f>
        <v/>
      </c>
      <c r="AE38">
        <f>AD38</f>
        <v/>
      </c>
    </row>
    <row r="39">
      <c r="B39">
        <f>IF(B3="Millones de pesos","ARS","USD")</f>
        <v/>
      </c>
      <c r="C39">
        <f>IF(C3="Millones de pesos","ARS","USD")</f>
        <v/>
      </c>
      <c r="D39">
        <f>IF(D3="Millones de pesos","ARS","USD")</f>
        <v/>
      </c>
      <c r="E39">
        <f>IF(E3="Millones de pesos","ARS","USD")</f>
        <v/>
      </c>
      <c r="F39">
        <f>IF(F3="Millones de pesos","ARS","USD")</f>
        <v/>
      </c>
      <c r="G39">
        <f>IF(G3="Millones de pesos","ARS","USD")</f>
        <v/>
      </c>
      <c r="H39">
        <f>IF(H3="Millones de pesos","ARS","USD")</f>
        <v/>
      </c>
      <c r="I39">
        <f>IF(I3="Millones de pesos","ARS","USD")</f>
        <v/>
      </c>
      <c r="J39">
        <f>IF(J3="Millones de pesos","ARS","USD")</f>
        <v/>
      </c>
      <c r="K39">
        <f>IF(K3="Millones de pesos","ARS","USD")</f>
        <v/>
      </c>
      <c r="L39">
        <f>IF(L3="Millones de pesos","ARS","USD")</f>
        <v/>
      </c>
      <c r="M39">
        <f>IF(M3="Millones de pesos","ARS","USD")</f>
        <v/>
      </c>
      <c r="N39">
        <f>IF(N3="Millones de pesos","ARS","USD")</f>
        <v/>
      </c>
      <c r="O39">
        <f>IF(O3="Millones de pesos","ARS","USD")</f>
        <v/>
      </c>
      <c r="P39">
        <f>IF(P3="Millones de pesos","ARS","USD")</f>
        <v/>
      </c>
      <c r="Q39">
        <f>IF(Q3="Millones de pesos","ARS","USD")</f>
        <v/>
      </c>
      <c r="R39">
        <f>IF(R3="Millones de pesos","ARS","USD")</f>
        <v/>
      </c>
      <c r="S39">
        <f>IF(S3="Millones de pesos","ARS","USD")</f>
        <v/>
      </c>
      <c r="T39">
        <f>IF(T3="Millones de pesos","ARS","USD")</f>
        <v/>
      </c>
      <c r="U39">
        <f>IF(U3="Millones de pesos","ARS","USD")</f>
        <v/>
      </c>
      <c r="V39">
        <f>IF(V3="Millones de pesos","ARS","USD")</f>
        <v/>
      </c>
      <c r="W39">
        <f>IF(W3="Millones de pesos","ARS","USD")</f>
        <v/>
      </c>
      <c r="X39">
        <f>IF(X3="Millones de pesos","ARS","USD")</f>
        <v/>
      </c>
      <c r="Y39">
        <f>IF(Y3="Millones de pesos","ARS","USD")</f>
        <v/>
      </c>
      <c r="Z39">
        <f>IF(Z3="Millones de pesos","ARS","USD")</f>
        <v/>
      </c>
      <c r="AA39">
        <f>IF(AA3="Millones de pesos","ARS","USD")</f>
        <v/>
      </c>
      <c r="AB39">
        <f>IF(AB3="Millones de pesos","ARS","USD")</f>
        <v/>
      </c>
      <c r="AC39">
        <f>IF(AC3="Millones de pesos","ARS","USD")</f>
        <v/>
      </c>
      <c r="AD39">
        <f>IF(AD3="Millones de pesos","ARS","USD")</f>
        <v/>
      </c>
      <c r="AE39">
        <f>IF(AE3="Millones de pesos","ARS","USD")</f>
        <v/>
      </c>
    </row>
    <row r="40">
      <c r="B40">
        <f>B4</f>
        <v/>
      </c>
      <c r="C40">
        <f>C4</f>
        <v/>
      </c>
      <c r="D40">
        <f>D4</f>
        <v/>
      </c>
      <c r="E40">
        <f>E4</f>
        <v/>
      </c>
      <c r="F40">
        <f>F4</f>
        <v/>
      </c>
      <c r="G40">
        <f>G4</f>
        <v/>
      </c>
      <c r="H40">
        <f>H4</f>
        <v/>
      </c>
      <c r="I40">
        <f>I4</f>
        <v/>
      </c>
      <c r="J40">
        <f>J4</f>
        <v/>
      </c>
      <c r="K40">
        <f>K4</f>
        <v/>
      </c>
      <c r="L40">
        <f>L4</f>
        <v/>
      </c>
      <c r="M40">
        <f>M4</f>
        <v/>
      </c>
      <c r="N40">
        <f>N4</f>
        <v/>
      </c>
      <c r="O40">
        <f>O4</f>
        <v/>
      </c>
      <c r="P40">
        <f>P4</f>
        <v/>
      </c>
      <c r="Q40">
        <f>Q4</f>
        <v/>
      </c>
      <c r="R40">
        <f>R4</f>
        <v/>
      </c>
      <c r="S40">
        <f>S4</f>
        <v/>
      </c>
      <c r="T40">
        <f>T4</f>
        <v/>
      </c>
      <c r="U40">
        <f>U4</f>
        <v/>
      </c>
      <c r="V40">
        <f>V4</f>
        <v/>
      </c>
      <c r="W40">
        <f>W4</f>
        <v/>
      </c>
      <c r="X40">
        <f>X4</f>
        <v/>
      </c>
      <c r="Y40">
        <f>Y4</f>
        <v/>
      </c>
      <c r="Z40">
        <f>Z4</f>
        <v/>
      </c>
      <c r="AA40">
        <f>AA4</f>
        <v/>
      </c>
      <c r="AB40">
        <f>AB4</f>
        <v/>
      </c>
      <c r="AC40">
        <f>AC4</f>
        <v/>
      </c>
      <c r="AD40">
        <f>AD4</f>
        <v/>
      </c>
      <c r="AE40">
        <f>AE4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10" workbookViewId="0">
      <selection activeCell="R11" sqref="R11"/>
    </sheetView>
  </sheetViews>
  <sheetFormatPr baseColWidth="10" defaultRowHeight="14.4"/>
  <sheetData>
    <row r="1">
      <c r="A1" t="inlineStr">
        <is>
          <t>año</t>
        </is>
      </c>
      <c r="B1" t="inlineStr">
        <is>
          <t>moneda</t>
        </is>
      </c>
      <c r="C1" t="inlineStr">
        <is>
          <t>monto</t>
        </is>
      </c>
      <c r="D1" t="inlineStr">
        <is>
          <t>constante</t>
        </is>
      </c>
      <c r="G1" t="inlineStr">
        <is>
          <t>ARS</t>
        </is>
      </c>
      <c r="H1" t="inlineStr">
        <is>
          <t>USD</t>
        </is>
      </c>
    </row>
    <row r="2">
      <c r="A2" t="n">
        <v>2010</v>
      </c>
      <c r="B2" t="inlineStr">
        <is>
          <t>ARS</t>
        </is>
      </c>
      <c r="C2" t="n">
        <v>540.58554</v>
      </c>
      <c r="D2" s="34">
        <f>IF(B2="ARS",emisiones!C2*VLOOKUP(A2,ipc!$A:$D,4,FALSE),emisiones!C2)</f>
        <v/>
      </c>
      <c r="F2" t="n">
        <v>2010</v>
      </c>
      <c r="G2" s="36">
        <f>SUMIFS($D:$D,$A:$A,$F2,$B:$B,G$1)</f>
        <v/>
      </c>
      <c r="H2" s="36">
        <f>SUMIFS($D:$D,$A:$A,$F2,$B:$B,H$1)</f>
        <v/>
      </c>
    </row>
    <row r="3">
      <c r="A3" t="n">
        <v>2010</v>
      </c>
      <c r="B3" t="inlineStr">
        <is>
          <t>USD</t>
        </is>
      </c>
      <c r="C3" t="n">
        <v>624.6375</v>
      </c>
      <c r="D3" s="34">
        <f>IF(B3="ARS",emisiones!C3*VLOOKUP(A3,ipc!$A:$D,4,FALSE),emisiones!C3)</f>
        <v/>
      </c>
      <c r="F3" t="n">
        <v>2011</v>
      </c>
      <c r="G3" s="36">
        <f>SUMIFS($D:$D,$A:$A,$F3,$B:$B,G$1)</f>
        <v/>
      </c>
      <c r="H3" s="36">
        <f>SUMIFS($D:$D,$A:$A,$F3,$B:$B,H$1)</f>
        <v/>
      </c>
    </row>
    <row r="4">
      <c r="A4" t="n">
        <v>2011</v>
      </c>
      <c r="B4" t="inlineStr">
        <is>
          <t>ARS</t>
        </is>
      </c>
      <c r="C4" t="n">
        <v>2.5351</v>
      </c>
      <c r="D4" s="34">
        <f>IF(B4="ARS",emisiones!C4*VLOOKUP(A4,ipc!$A:$D,4,FALSE),emisiones!C4)</f>
        <v/>
      </c>
      <c r="F4" t="n">
        <v>2012</v>
      </c>
      <c r="G4" s="36">
        <f>SUMIFS($D:$D,$A:$A,$F4,$B:$B,G$1)</f>
        <v/>
      </c>
      <c r="H4" s="36">
        <f>SUMIFS($D:$D,$A:$A,$F4,$B:$B,H$1)</f>
        <v/>
      </c>
    </row>
    <row r="5">
      <c r="A5" t="n">
        <v>2011</v>
      </c>
      <c r="B5" t="inlineStr">
        <is>
          <t>USD</t>
        </is>
      </c>
      <c r="C5" t="n">
        <v>617.4664</v>
      </c>
      <c r="D5" s="34">
        <f>IF(B5="ARS",emisiones!C5*VLOOKUP(A5,ipc!$A:$D,4,FALSE),emisiones!C5)</f>
        <v/>
      </c>
      <c r="F5" t="n">
        <v>2013</v>
      </c>
      <c r="G5" s="36">
        <f>SUMIFS($D:$D,$A:$A,$F5,$B:$B,G$1)</f>
        <v/>
      </c>
      <c r="H5" s="36">
        <f>SUMIFS($D:$D,$A:$A,$F5,$B:$B,H$1)</f>
        <v/>
      </c>
    </row>
    <row r="6">
      <c r="A6" t="n">
        <v>2012</v>
      </c>
      <c r="B6" t="inlineStr">
        <is>
          <t>ARS</t>
        </is>
      </c>
      <c r="C6" t="n">
        <v>195.5673</v>
      </c>
      <c r="D6" s="34">
        <f>IF(B6="ARS",emisiones!C6*VLOOKUP(A6,ipc!$A:$D,4,FALSE),emisiones!C6)</f>
        <v/>
      </c>
      <c r="F6" t="n">
        <v>2014</v>
      </c>
      <c r="G6" s="36">
        <f>SUMIFS($D:$D,$A:$A,$F6,$B:$B,G$1)</f>
        <v/>
      </c>
      <c r="H6" s="36">
        <f>SUMIFS($D:$D,$A:$A,$F6,$B:$B,H$1)</f>
        <v/>
      </c>
    </row>
    <row r="7">
      <c r="A7" t="n">
        <v>2012</v>
      </c>
      <c r="B7" t="inlineStr">
        <is>
          <t>USD</t>
        </is>
      </c>
      <c r="C7" t="n">
        <v>1133.573</v>
      </c>
      <c r="D7" s="34">
        <f>IF(B7="ARS",emisiones!C7*VLOOKUP(A7,ipc!$A:$D,4,FALSE),emisiones!C7)</f>
        <v/>
      </c>
      <c r="F7" t="n">
        <v>2015</v>
      </c>
      <c r="G7" s="36">
        <f>SUMIFS($D:$D,$A:$A,$F7,$B:$B,G$1)</f>
        <v/>
      </c>
      <c r="H7" s="36">
        <f>SUMIFS($D:$D,$A:$A,$F7,$B:$B,H$1)</f>
        <v/>
      </c>
    </row>
    <row r="8">
      <c r="A8" t="n">
        <v>2013</v>
      </c>
      <c r="B8" t="inlineStr">
        <is>
          <t>ARS</t>
        </is>
      </c>
      <c r="C8" t="n">
        <v>101.9539</v>
      </c>
      <c r="D8" s="34">
        <f>IF(B8="ARS",emisiones!C8*VLOOKUP(A8,ipc!$A:$D,4,FALSE),emisiones!C8)</f>
        <v/>
      </c>
      <c r="F8" t="n">
        <v>2016</v>
      </c>
      <c r="G8" s="36">
        <f>SUMIFS($D:$D,$A:$A,$F8,$B:$B,G$1)</f>
        <v/>
      </c>
      <c r="H8" s="36">
        <f>SUMIFS($D:$D,$A:$A,$F8,$B:$B,H$1)</f>
        <v/>
      </c>
    </row>
    <row r="9">
      <c r="A9" t="n">
        <v>2013</v>
      </c>
      <c r="B9" t="inlineStr">
        <is>
          <t>USD</t>
        </is>
      </c>
      <c r="C9" t="n">
        <v>1549.606</v>
      </c>
      <c r="D9" s="34">
        <f>IF(B9="ARS",emisiones!C9*VLOOKUP(A9,ipc!$A:$D,4,FALSE),emisiones!C9)</f>
        <v/>
      </c>
      <c r="F9" t="n">
        <v>2017</v>
      </c>
      <c r="G9" s="36">
        <f>SUMIFS($D:$D,$A:$A,$F9,$B:$B,G$1)</f>
        <v/>
      </c>
      <c r="H9" s="36">
        <f>SUMIFS($D:$D,$A:$A,$F9,$B:$B,H$1)</f>
        <v/>
      </c>
    </row>
    <row r="10">
      <c r="A10" t="n">
        <v>2014</v>
      </c>
      <c r="B10" t="inlineStr">
        <is>
          <t>ARS</t>
        </is>
      </c>
      <c r="C10" t="n">
        <v>374.362</v>
      </c>
      <c r="D10" s="34">
        <f>IF(B10="ARS",emisiones!C10*VLOOKUP(A10,ipc!$A:$D,4,FALSE),emisiones!C10)</f>
        <v/>
      </c>
      <c r="F10" t="n">
        <v>2018</v>
      </c>
      <c r="G10" s="36">
        <f>SUMIFS($D:$D,$A:$A,$F10,$B:$B,G$1)</f>
        <v/>
      </c>
      <c r="H10" s="36">
        <f>SUMIFS($D:$D,$A:$A,$F10,$B:$B,H$1)</f>
        <v/>
      </c>
    </row>
    <row r="11">
      <c r="A11" t="n">
        <v>2014</v>
      </c>
      <c r="B11" t="inlineStr">
        <is>
          <t>USD</t>
        </is>
      </c>
      <c r="C11" t="n">
        <v>1850.554</v>
      </c>
      <c r="D11" s="34">
        <f>IF(B11="ARS",emisiones!C11*VLOOKUP(A11,ipc!$A:$D,4,FALSE),emisiones!C11)</f>
        <v/>
      </c>
      <c r="F11" t="n">
        <v>2019</v>
      </c>
      <c r="G11" s="36">
        <f>SUMIFS($D:$D,$A:$A,$F11,$B:$B,G$1)</f>
        <v/>
      </c>
      <c r="H11" s="36">
        <f>SUMIFS($D:$D,$A:$A,$F11,$B:$B,H$1)</f>
        <v/>
      </c>
    </row>
    <row r="12">
      <c r="A12" t="n">
        <v>2015</v>
      </c>
      <c r="B12" t="inlineStr">
        <is>
          <t>ARS</t>
        </is>
      </c>
      <c r="C12" t="n">
        <v>1216.06</v>
      </c>
      <c r="D12" s="34">
        <f>IF(B12="ARS",emisiones!C12*VLOOKUP(A12,ipc!$A:$D,4,FALSE),emisiones!C12)</f>
        <v/>
      </c>
      <c r="F12" t="n">
        <v>2020</v>
      </c>
      <c r="G12" s="36">
        <f>SUMIFS($D:$D,$A:$A,$F12,$B:$B,G$1)</f>
        <v/>
      </c>
      <c r="H12" s="36">
        <f>SUMIFS($D:$D,$A:$A,$F12,$B:$B,H$1)</f>
        <v/>
      </c>
    </row>
    <row r="13">
      <c r="A13" t="n">
        <v>2015</v>
      </c>
      <c r="B13" t="inlineStr">
        <is>
          <t>USD</t>
        </is>
      </c>
      <c r="C13" t="n">
        <v>1915.28</v>
      </c>
      <c r="D13" s="34">
        <f>IF(B13="ARS",emisiones!C13*VLOOKUP(A13,ipc!$A:$D,4,FALSE),emisiones!C13)</f>
        <v/>
      </c>
      <c r="F13" t="n">
        <v>2021</v>
      </c>
      <c r="G13" s="36">
        <f>SUMIFS($D:$D,$A:$A,$F13,$B:$B,G$1)</f>
        <v/>
      </c>
      <c r="H13" s="36">
        <f>SUMIFS($D:$D,$A:$A,$F13,$B:$B,H$1)</f>
        <v/>
      </c>
    </row>
    <row r="14">
      <c r="A14" t="n">
        <v>2016</v>
      </c>
      <c r="B14" t="inlineStr">
        <is>
          <t>ARS</t>
        </is>
      </c>
      <c r="C14" t="n">
        <v>4395.238</v>
      </c>
      <c r="D14" s="34">
        <f>IF(B14="ARS",emisiones!C14*VLOOKUP(A14,ipc!$A:$D,4,FALSE),emisiones!C14)</f>
        <v/>
      </c>
      <c r="F14" t="n">
        <v>2022</v>
      </c>
      <c r="G14" s="36">
        <f>SUMIFS($D:$D,$A:$A,$F14,$B:$B,G$1)</f>
        <v/>
      </c>
      <c r="H14" s="36">
        <f>SUMIFS($D:$D,$A:$A,$F14,$B:$B,H$1)</f>
        <v/>
      </c>
    </row>
    <row r="15">
      <c r="A15" t="n">
        <v>2016</v>
      </c>
      <c r="B15" t="inlineStr">
        <is>
          <t>USD</t>
        </is>
      </c>
      <c r="C15" t="n">
        <v>2204.8482</v>
      </c>
      <c r="D15" s="34">
        <f>IF(B15="ARS",emisiones!C15*VLOOKUP(A15,ipc!$A:$D,4,FALSE),emisiones!C15)</f>
        <v/>
      </c>
      <c r="F15" t="n">
        <v>2023</v>
      </c>
      <c r="G15" s="36">
        <f>SUMIFS($D:$D,$A:$A,$F15,$B:$B,G$1)</f>
        <v/>
      </c>
      <c r="H15" s="36">
        <f>SUMIFS($D:$D,$A:$A,$F15,$B:$B,H$1)</f>
        <v/>
      </c>
    </row>
    <row r="16">
      <c r="A16" t="n">
        <v>2017</v>
      </c>
      <c r="B16" t="inlineStr">
        <is>
          <t>ARS</t>
        </is>
      </c>
      <c r="C16" t="n">
        <v>22259.2661</v>
      </c>
      <c r="D16" s="34">
        <f>IF(B16="ARS",emisiones!C16*VLOOKUP(A16,ipc!$A:$D,4,FALSE),emisiones!C16)</f>
        <v/>
      </c>
      <c r="F16" t="n">
        <v>2024</v>
      </c>
      <c r="G16" s="36">
        <f>SUMIFS($D:$D,$A:$A,$F16,$B:$B,G$1)</f>
        <v/>
      </c>
      <c r="H16" s="36">
        <f>SUMIFS($D:$D,$A:$A,$F16,$B:$B,H$1)</f>
        <v/>
      </c>
    </row>
    <row r="17">
      <c r="A17" t="n">
        <v>2017</v>
      </c>
      <c r="B17" t="inlineStr">
        <is>
          <t>USD</t>
        </is>
      </c>
      <c r="C17" t="n">
        <v>1608.5596</v>
      </c>
      <c r="D17" s="34">
        <f>IF(B17="ARS",emisiones!C17*VLOOKUP(A17,ipc!$A:$D,4,FALSE),emisiones!C17)</f>
        <v/>
      </c>
    </row>
    <row r="18">
      <c r="A18" t="n">
        <v>2018</v>
      </c>
      <c r="B18" t="inlineStr">
        <is>
          <t>ARS</t>
        </is>
      </c>
      <c r="C18" t="n">
        <v>28304.3623</v>
      </c>
      <c r="D18" s="34">
        <f>IF(B18="ARS",emisiones!C18*VLOOKUP(A18,ipc!$A:$D,4,FALSE),emisiones!C18)</f>
        <v/>
      </c>
    </row>
    <row r="19">
      <c r="A19" t="n">
        <v>2018</v>
      </c>
      <c r="B19" t="inlineStr">
        <is>
          <t>USD</t>
        </is>
      </c>
      <c r="C19" t="n">
        <v>1466.7623</v>
      </c>
      <c r="D19" s="34">
        <f>IF(B19="ARS",emisiones!C19*VLOOKUP(A19,ipc!$A:$D,4,FALSE),emisiones!C19)</f>
        <v/>
      </c>
    </row>
    <row r="20">
      <c r="A20" t="n">
        <v>2019</v>
      </c>
      <c r="B20" t="inlineStr">
        <is>
          <t>ARS</t>
        </is>
      </c>
      <c r="C20" t="n">
        <v>47782.9616</v>
      </c>
      <c r="D20" s="34">
        <f>IF(B20="ARS",emisiones!C20*VLOOKUP(A20,ipc!$A:$D,4,FALSE),emisiones!C20)</f>
        <v/>
      </c>
    </row>
    <row r="21">
      <c r="A21" t="n">
        <v>2019</v>
      </c>
      <c r="B21" t="inlineStr">
        <is>
          <t>USD</t>
        </is>
      </c>
      <c r="C21" t="n">
        <v>1253.3728</v>
      </c>
      <c r="D21" s="34">
        <f>IF(B21="ARS",emisiones!C21*VLOOKUP(A21,ipc!$A:$D,4,FALSE),emisiones!C21)</f>
        <v/>
      </c>
    </row>
    <row r="22">
      <c r="A22" t="n">
        <v>2020</v>
      </c>
      <c r="B22" t="inlineStr">
        <is>
          <t>ARS</t>
        </is>
      </c>
      <c r="C22" t="n">
        <v>87988.18490000001</v>
      </c>
      <c r="D22" s="34">
        <f>IF(B22="ARS",emisiones!C22*VLOOKUP(A22,ipc!$A:$D,4,FALSE),emisiones!C22)</f>
        <v/>
      </c>
    </row>
    <row r="23">
      <c r="A23" t="n">
        <v>2020</v>
      </c>
      <c r="B23" t="inlineStr">
        <is>
          <t>USD</t>
        </is>
      </c>
      <c r="C23" t="n">
        <v>1071.4536</v>
      </c>
      <c r="D23" s="34">
        <f>IF(B23="ARS",emisiones!C23*VLOOKUP(A23,ipc!$A:$D,4,FALSE),emisiones!C23)</f>
        <v/>
      </c>
    </row>
    <row r="24">
      <c r="A24" t="n">
        <v>2021</v>
      </c>
      <c r="B24" t="inlineStr">
        <is>
          <t>ARS</t>
        </is>
      </c>
      <c r="C24" t="n">
        <v>100093.9</v>
      </c>
      <c r="D24" s="34">
        <f>IF(B24="ARS",emisiones!C24*VLOOKUP(A24,ipc!$A:$D,4,FALSE),emisiones!C24)</f>
        <v/>
      </c>
    </row>
    <row r="25">
      <c r="A25" t="n">
        <v>2021</v>
      </c>
      <c r="B25" t="inlineStr">
        <is>
          <t>USD</t>
        </is>
      </c>
      <c r="C25" t="n">
        <v>890</v>
      </c>
      <c r="D25" s="34">
        <f>IF(B25="ARS",emisiones!C25*VLOOKUP(A25,ipc!$A:$D,4,FALSE),emisiones!C25)</f>
        <v/>
      </c>
    </row>
    <row r="26">
      <c r="A26" t="n">
        <v>2022</v>
      </c>
      <c r="B26" t="inlineStr">
        <is>
          <t>ARS</t>
        </is>
      </c>
      <c r="C26" t="n">
        <v>76636.10000000001</v>
      </c>
      <c r="D26" s="34">
        <f>IF(B26="ARS",emisiones!C26*VLOOKUP(A26,ipc!$A:$D,4,FALSE),emisiones!C26)</f>
        <v/>
      </c>
    </row>
    <row r="27">
      <c r="A27" t="n">
        <v>2022</v>
      </c>
      <c r="B27" t="inlineStr">
        <is>
          <t>USD</t>
        </is>
      </c>
      <c r="C27" t="n">
        <v>890</v>
      </c>
      <c r="D27" s="34">
        <f>IF(B27="ARS",emisiones!C27*VLOOKUP(A27,ipc!$A:$D,4,FALSE),emisiones!C27)</f>
        <v/>
      </c>
    </row>
    <row r="28">
      <c r="A28" t="n">
        <v>2023</v>
      </c>
      <c r="B28" t="inlineStr">
        <is>
          <t>ARS</t>
        </is>
      </c>
      <c r="C28" t="n">
        <v>61687.5</v>
      </c>
      <c r="D28" s="34">
        <f>IF(B28="ARS",emisiones!C28*VLOOKUP(A28,ipc!$A:$D,4,FALSE),emisiones!C28)</f>
        <v/>
      </c>
    </row>
    <row r="29">
      <c r="A29" t="n">
        <v>2023</v>
      </c>
      <c r="B29" t="inlineStr">
        <is>
          <t>USD</t>
        </is>
      </c>
      <c r="C29" t="n">
        <v>890</v>
      </c>
      <c r="D29" s="34">
        <f>IF(B29="ARS",emisiones!C29*VLOOKUP(A29,ipc!$A:$D,4,FALSE),emisiones!C29)</f>
        <v/>
      </c>
    </row>
    <row r="30">
      <c r="A30" t="n">
        <v>2024</v>
      </c>
      <c r="B30" t="inlineStr">
        <is>
          <t>ARS</t>
        </is>
      </c>
      <c r="C30" t="n">
        <v>35684.2</v>
      </c>
      <c r="D30" s="34">
        <f>IF(B30="ARS",emisiones!C30*VLOOKUP(A30,ipc!$A:$D,4,FALSE),emisiones!C30)</f>
        <v/>
      </c>
    </row>
    <row r="31">
      <c r="A31" t="n">
        <v>2024</v>
      </c>
      <c r="B31" t="inlineStr">
        <is>
          <t>USD</t>
        </is>
      </c>
      <c r="C31" t="n">
        <v>890</v>
      </c>
      <c r="D31" s="34">
        <f>IF(B31="ARS",emisiones!C31*VLOOKUP(A31,ipc!$A:$D,4,FALSE),emisiones!C31)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26"/>
  <sheetViews>
    <sheetView workbookViewId="0">
      <selection activeCell="A23" sqref="A23"/>
    </sheetView>
  </sheetViews>
  <sheetFormatPr baseColWidth="10" defaultRowHeight="14.4"/>
  <cols>
    <col width="29" bestFit="1" customWidth="1" min="1" max="1"/>
  </cols>
  <sheetData>
    <row r="1">
      <c r="A1" s="59" t="inlineStr">
        <is>
          <t>Tipo de deuda</t>
        </is>
      </c>
      <c r="B1" s="59" t="n">
        <v>1996</v>
      </c>
      <c r="C1" s="59" t="n">
        <v>1997</v>
      </c>
      <c r="D1" s="59" t="n">
        <v>1998</v>
      </c>
      <c r="E1" s="59" t="n">
        <v>1999</v>
      </c>
      <c r="F1" s="59" t="n">
        <v>2000</v>
      </c>
      <c r="G1" s="59" t="n">
        <v>2001</v>
      </c>
      <c r="H1" s="59" t="n">
        <v>2002</v>
      </c>
      <c r="I1" s="63" t="n"/>
      <c r="J1" s="63" t="n"/>
      <c r="K1" s="63" t="n"/>
      <c r="L1" s="60" t="n"/>
      <c r="M1" s="39" t="n">
        <v>2003</v>
      </c>
      <c r="N1" s="40" t="n"/>
      <c r="O1" s="40" t="n"/>
      <c r="P1" s="60" t="n"/>
      <c r="Q1" s="59" t="n">
        <v>2004</v>
      </c>
      <c r="R1" s="63" t="n"/>
      <c r="S1" s="63" t="n"/>
      <c r="T1" s="37" t="n"/>
      <c r="U1" s="59" t="n">
        <v>2005</v>
      </c>
      <c r="V1" s="63" t="n"/>
      <c r="W1" s="63" t="n"/>
      <c r="X1" s="37" t="n"/>
      <c r="Y1" s="54" t="n">
        <v>2006</v>
      </c>
      <c r="Z1" s="63" t="n"/>
      <c r="AA1" s="63" t="n"/>
      <c r="AB1" s="37" t="n"/>
      <c r="AC1" s="54" t="n">
        <v>2007</v>
      </c>
      <c r="AD1" s="63" t="n"/>
      <c r="AE1" s="63" t="n"/>
      <c r="AF1" s="37" t="n"/>
      <c r="AG1" s="62" t="n">
        <v>2008</v>
      </c>
      <c r="AH1" s="63" t="n"/>
      <c r="AI1" s="63" t="n"/>
      <c r="AJ1" s="37" t="n"/>
      <c r="AK1" s="62" t="n">
        <v>2009</v>
      </c>
      <c r="AL1" s="63" t="n"/>
      <c r="AM1" s="63" t="n"/>
      <c r="AN1" s="37" t="n"/>
      <c r="AO1" s="61" t="n">
        <v>2010</v>
      </c>
      <c r="AP1" s="63" t="n"/>
      <c r="AQ1" s="63" t="n"/>
      <c r="AR1" s="37" t="n"/>
      <c r="AS1" s="61" t="n">
        <v>2011</v>
      </c>
      <c r="AT1" s="63" t="n"/>
      <c r="AU1" s="63" t="n"/>
      <c r="AV1" s="61" t="n">
        <v>2012</v>
      </c>
      <c r="AW1" s="63" t="n"/>
      <c r="AX1" s="63" t="n"/>
      <c r="AY1" s="63" t="n"/>
      <c r="AZ1" s="61" t="n">
        <v>2013</v>
      </c>
      <c r="BA1" s="63" t="n"/>
      <c r="BB1" s="63" t="n"/>
      <c r="BC1" s="63" t="n"/>
      <c r="BD1" s="41" t="n"/>
      <c r="BE1" s="61" t="n">
        <v>2014</v>
      </c>
      <c r="BF1" s="63" t="n"/>
      <c r="BG1" s="63" t="n"/>
      <c r="BH1" s="61" t="n">
        <v>2015</v>
      </c>
      <c r="BI1" s="63" t="n"/>
      <c r="BJ1" s="63" t="n"/>
      <c r="BK1" s="63" t="n"/>
      <c r="BL1" s="61" t="n">
        <v>2016</v>
      </c>
      <c r="BM1" s="63" t="n"/>
      <c r="BN1" s="63" t="n"/>
      <c r="BO1" s="63" t="n"/>
      <c r="BP1" s="61" t="n">
        <v>2017</v>
      </c>
      <c r="BQ1" s="63" t="n"/>
      <c r="BR1" s="63" t="n"/>
      <c r="BS1" s="63" t="n"/>
      <c r="BT1" s="61" t="n">
        <v>2018</v>
      </c>
      <c r="BU1" s="63" t="n"/>
      <c r="BV1" s="63" t="n"/>
      <c r="BW1" s="63" t="n"/>
      <c r="BX1" s="63" t="n"/>
      <c r="BY1" s="61" t="n">
        <v>2019</v>
      </c>
      <c r="BZ1" s="63" t="n"/>
      <c r="CA1" s="63" t="n"/>
      <c r="CB1" s="63" t="n"/>
      <c r="CC1" s="63" t="n"/>
      <c r="CD1" s="61" t="n">
        <v>2020</v>
      </c>
      <c r="CE1" s="63" t="n"/>
      <c r="CF1" s="63" t="n"/>
      <c r="CG1" s="63" t="n"/>
      <c r="CH1" s="63" t="n"/>
      <c r="CI1" s="61" t="n">
        <v>2021</v>
      </c>
      <c r="CJ1" s="63" t="n"/>
      <c r="CK1" s="63" t="n"/>
      <c r="CL1" s="63" t="n"/>
      <c r="CM1" s="63" t="n"/>
      <c r="CN1" s="61" t="n">
        <v>2022</v>
      </c>
      <c r="CO1" s="63" t="n"/>
      <c r="CP1" s="63" t="n"/>
      <c r="CQ1" s="63" t="n"/>
      <c r="CR1" s="63" t="n"/>
      <c r="CS1" s="61" t="n">
        <v>2023</v>
      </c>
      <c r="CT1" s="63" t="n"/>
      <c r="CU1" s="63" t="n"/>
      <c r="CV1" s="63" t="n"/>
      <c r="CW1" s="63" t="n"/>
      <c r="CX1" s="61" t="n">
        <v>2024</v>
      </c>
      <c r="CY1" s="63" t="n"/>
      <c r="CZ1" s="63" t="n"/>
      <c r="DA1" s="63" t="n"/>
      <c r="DB1" s="63" t="n"/>
    </row>
    <row r="2" ht="36" customHeight="1">
      <c r="A2" s="64" t="n"/>
      <c r="B2" s="56" t="inlineStr">
        <is>
          <t>Millones de pesos</t>
        </is>
      </c>
      <c r="C2" s="63" t="n"/>
      <c r="D2" s="63" t="n"/>
      <c r="E2" s="63" t="n"/>
      <c r="F2" s="63" t="n"/>
      <c r="G2" s="63" t="n"/>
      <c r="H2" s="43" t="inlineStr">
        <is>
          <t>Total en millones de pesos1</t>
        </is>
      </c>
      <c r="I2" s="43" t="inlineStr">
        <is>
          <t>Millones de pesos</t>
        </is>
      </c>
      <c r="J2" s="43" t="inlineStr">
        <is>
          <t>Millones de dólares</t>
        </is>
      </c>
      <c r="K2" s="43" t="inlineStr">
        <is>
          <t>Millones de euros</t>
        </is>
      </c>
      <c r="L2" s="43" t="inlineStr">
        <is>
          <t>Total en millones de pesos1</t>
        </is>
      </c>
      <c r="M2" s="43" t="inlineStr">
        <is>
          <t>Millones de pesos</t>
        </is>
      </c>
      <c r="N2" s="43" t="inlineStr">
        <is>
          <t>Millones de dólares</t>
        </is>
      </c>
      <c r="O2" s="43" t="inlineStr">
        <is>
          <t>Millones de euros</t>
        </is>
      </c>
      <c r="P2" s="43" t="inlineStr">
        <is>
          <t>Total en millones de pesos1</t>
        </is>
      </c>
      <c r="Q2" s="43" t="inlineStr">
        <is>
          <t>Millones de pesos</t>
        </is>
      </c>
      <c r="R2" s="43" t="inlineStr">
        <is>
          <t>Millones de dólares</t>
        </is>
      </c>
      <c r="S2" s="43" t="inlineStr">
        <is>
          <t>Millones de euros</t>
        </is>
      </c>
      <c r="T2" s="56" t="inlineStr">
        <is>
          <t>Total en millones de pesos1</t>
        </is>
      </c>
      <c r="U2" s="43" t="inlineStr">
        <is>
          <t>Millones de pesos</t>
        </is>
      </c>
      <c r="V2" s="43" t="inlineStr">
        <is>
          <t>Millones de dólares</t>
        </is>
      </c>
      <c r="W2" s="43" t="inlineStr">
        <is>
          <t>Millones de euros</t>
        </is>
      </c>
      <c r="X2" s="56" t="inlineStr">
        <is>
          <t>Total en millones de pesos1</t>
        </is>
      </c>
      <c r="Y2" s="43" t="inlineStr">
        <is>
          <t>Millones de pesos</t>
        </is>
      </c>
      <c r="Z2" s="43" t="inlineStr">
        <is>
          <t>Millones de dólares</t>
        </is>
      </c>
      <c r="AA2" s="43" t="inlineStr">
        <is>
          <t>Millones de euros</t>
        </is>
      </c>
      <c r="AB2" s="56" t="inlineStr">
        <is>
          <t>Total en millones de pesos1</t>
        </is>
      </c>
      <c r="AC2" s="43" t="inlineStr">
        <is>
          <t>Millones de pesos</t>
        </is>
      </c>
      <c r="AD2" s="43" t="inlineStr">
        <is>
          <t>Millones de dólares</t>
        </is>
      </c>
      <c r="AE2" s="43" t="inlineStr">
        <is>
          <t>Millones de euros</t>
        </is>
      </c>
      <c r="AF2" s="56" t="inlineStr">
        <is>
          <t>Total en millones de pesos1</t>
        </is>
      </c>
      <c r="AG2" s="43" t="inlineStr">
        <is>
          <t>Millones de pesos</t>
        </is>
      </c>
      <c r="AH2" s="43" t="inlineStr">
        <is>
          <t>Millones de dólares</t>
        </is>
      </c>
      <c r="AI2" s="43" t="inlineStr">
        <is>
          <t>Millones de euros</t>
        </is>
      </c>
      <c r="AJ2" s="43" t="inlineStr">
        <is>
          <t>Total en millones de pesos1</t>
        </is>
      </c>
      <c r="AK2" s="43" t="inlineStr">
        <is>
          <t>Millones de pesos</t>
        </is>
      </c>
      <c r="AL2" s="43" t="inlineStr">
        <is>
          <t>Millones de dólares</t>
        </is>
      </c>
      <c r="AM2" s="43" t="inlineStr">
        <is>
          <t>Millones de   euros</t>
        </is>
      </c>
      <c r="AN2" s="43" t="inlineStr">
        <is>
          <t>Total en millones de pesos1</t>
        </is>
      </c>
      <c r="AO2" s="43" t="inlineStr">
        <is>
          <t>Millones de pesos</t>
        </is>
      </c>
      <c r="AP2" s="43" t="inlineStr">
        <is>
          <t>Millones de dólares</t>
        </is>
      </c>
      <c r="AQ2" s="43" t="inlineStr">
        <is>
          <t>Millones de   euros</t>
        </is>
      </c>
      <c r="AR2" s="43" t="inlineStr">
        <is>
          <t>Total en millones de pesos1</t>
        </is>
      </c>
      <c r="AS2" s="56" t="inlineStr">
        <is>
          <t>Millones de pesos</t>
        </is>
      </c>
      <c r="AT2" s="43" t="inlineStr">
        <is>
          <t>Millones de dólares</t>
        </is>
      </c>
      <c r="AU2" s="43" t="inlineStr">
        <is>
          <t>Millones de   euros</t>
        </is>
      </c>
      <c r="AV2" s="56" t="inlineStr">
        <is>
          <t>Millones de pesos</t>
        </is>
      </c>
      <c r="AW2" s="43" t="inlineStr">
        <is>
          <t>Total en millones de pesos1</t>
        </is>
      </c>
      <c r="AX2" s="43" t="inlineStr">
        <is>
          <t>Millones de dólares</t>
        </is>
      </c>
      <c r="AY2" s="43" t="inlineStr">
        <is>
          <t>Millones de   euros</t>
        </is>
      </c>
      <c r="AZ2" s="56" t="inlineStr">
        <is>
          <t>Millones de pesos</t>
        </is>
      </c>
      <c r="BA2" s="43" t="inlineStr">
        <is>
          <t>Total en millones de pesos1</t>
        </is>
      </c>
      <c r="BB2" s="43" t="inlineStr">
        <is>
          <t>Millones de dólares</t>
        </is>
      </c>
      <c r="BC2" s="43" t="inlineStr">
        <is>
          <t>Millones de   euros</t>
        </is>
      </c>
      <c r="BD2" s="43" t="inlineStr">
        <is>
          <t>Total en millones de pesos1</t>
        </is>
      </c>
      <c r="BE2" s="56" t="inlineStr">
        <is>
          <t>Millones de pesos</t>
        </is>
      </c>
      <c r="BF2" s="43" t="inlineStr">
        <is>
          <t>Millones de dólares</t>
        </is>
      </c>
      <c r="BG2" s="43" t="inlineStr">
        <is>
          <t>Millones de   euros</t>
        </is>
      </c>
      <c r="BH2" s="43" t="inlineStr">
        <is>
          <t>Total en millones de pesos1</t>
        </is>
      </c>
      <c r="BI2" s="56" t="inlineStr">
        <is>
          <t>Millones de pesos</t>
        </is>
      </c>
      <c r="BJ2" s="43" t="inlineStr">
        <is>
          <t>Millones de dólares</t>
        </is>
      </c>
      <c r="BK2" s="43" t="inlineStr">
        <is>
          <t>Millones de   euros</t>
        </is>
      </c>
      <c r="BL2" s="43" t="inlineStr">
        <is>
          <t>Total en millones de pesos1</t>
        </is>
      </c>
      <c r="BM2" s="56" t="inlineStr">
        <is>
          <t>Millones de pesos</t>
        </is>
      </c>
      <c r="BN2" s="43" t="inlineStr">
        <is>
          <t>Millones de dólares</t>
        </is>
      </c>
      <c r="BO2" s="43" t="inlineStr">
        <is>
          <t>Millones de   euros</t>
        </is>
      </c>
      <c r="BP2" s="43" t="inlineStr">
        <is>
          <t>Total en millones de pesos1</t>
        </is>
      </c>
      <c r="BQ2" s="56" t="inlineStr">
        <is>
          <t>Millones de pesos</t>
        </is>
      </c>
      <c r="BR2" s="43" t="inlineStr">
        <is>
          <t>Millones de dólares</t>
        </is>
      </c>
      <c r="BS2" s="43" t="inlineStr">
        <is>
          <t>Millones de   euros</t>
        </is>
      </c>
      <c r="BT2" s="43" t="inlineStr">
        <is>
          <t>Total en millones de pesos1</t>
        </is>
      </c>
      <c r="BU2" s="43" t="inlineStr">
        <is>
          <t>Millones de pesos</t>
        </is>
      </c>
      <c r="BV2" s="43" t="inlineStr">
        <is>
          <t>Millones de dólares</t>
        </is>
      </c>
      <c r="BW2" s="43" t="inlineStr">
        <is>
          <t>Millones de   euros</t>
        </is>
      </c>
      <c r="BX2" s="56" t="inlineStr">
        <is>
          <t>UVAs</t>
        </is>
      </c>
      <c r="BY2" s="43" t="inlineStr">
        <is>
          <t>Total en millones de pesos1</t>
        </is>
      </c>
      <c r="BZ2" s="43" t="inlineStr">
        <is>
          <t>Millones de pesos</t>
        </is>
      </c>
      <c r="CA2" s="43" t="inlineStr">
        <is>
          <t>Millones de dólares</t>
        </is>
      </c>
      <c r="CB2" s="43" t="inlineStr">
        <is>
          <t>Millones de   euros</t>
        </is>
      </c>
      <c r="CC2" s="56" t="inlineStr">
        <is>
          <t>UVAs</t>
        </is>
      </c>
      <c r="CD2" s="43" t="inlineStr">
        <is>
          <t>Total en millones de pesos1</t>
        </is>
      </c>
      <c r="CE2" s="43" t="inlineStr">
        <is>
          <t>Millones de pesos</t>
        </is>
      </c>
      <c r="CF2" s="43" t="inlineStr">
        <is>
          <t>Millones de dólares</t>
        </is>
      </c>
      <c r="CG2" s="43" t="inlineStr">
        <is>
          <t>Millones de   euros</t>
        </is>
      </c>
      <c r="CH2" s="56" t="inlineStr">
        <is>
          <t>UVAs</t>
        </is>
      </c>
      <c r="CI2" s="56" t="inlineStr">
        <is>
          <t>Total en millones de pesos1</t>
        </is>
      </c>
      <c r="CJ2" s="56" t="inlineStr">
        <is>
          <t>Millones de pesos</t>
        </is>
      </c>
      <c r="CK2" s="56" t="inlineStr">
        <is>
          <t>Millones de dólares</t>
        </is>
      </c>
      <c r="CL2" s="56" t="inlineStr">
        <is>
          <t>Millones de   euros</t>
        </is>
      </c>
      <c r="CM2" s="56" t="inlineStr">
        <is>
          <t>UVAs</t>
        </is>
      </c>
      <c r="CN2" s="56" t="inlineStr">
        <is>
          <t>Total en millones de pesos1</t>
        </is>
      </c>
      <c r="CO2" s="56" t="inlineStr">
        <is>
          <t>Millones de pesos</t>
        </is>
      </c>
      <c r="CP2" s="56" t="inlineStr">
        <is>
          <t>Millones de dólares</t>
        </is>
      </c>
      <c r="CQ2" s="56" t="inlineStr">
        <is>
          <t>Millones de   euros</t>
        </is>
      </c>
      <c r="CR2" s="56" t="inlineStr">
        <is>
          <t>UVAs</t>
        </is>
      </c>
      <c r="CS2" s="56" t="inlineStr">
        <is>
          <t>Total en millones de pesos1</t>
        </is>
      </c>
      <c r="CT2" s="56" t="inlineStr">
        <is>
          <t>Millones de pesos</t>
        </is>
      </c>
      <c r="CU2" s="56" t="inlineStr">
        <is>
          <t>Millones de dólares</t>
        </is>
      </c>
      <c r="CV2" s="56" t="inlineStr">
        <is>
          <t>Millones de   euros</t>
        </is>
      </c>
      <c r="CW2" s="56" t="inlineStr">
        <is>
          <t>UVAs</t>
        </is>
      </c>
      <c r="CX2" s="56" t="inlineStr">
        <is>
          <t>Total en millones de pesos1</t>
        </is>
      </c>
      <c r="CY2" s="56" t="inlineStr">
        <is>
          <t>Millones de pesos</t>
        </is>
      </c>
      <c r="CZ2" s="56" t="inlineStr">
        <is>
          <t>Millones de dólares</t>
        </is>
      </c>
      <c r="DA2" s="56" t="inlineStr">
        <is>
          <t>Millones de   euros</t>
        </is>
      </c>
      <c r="DB2" s="56" t="inlineStr">
        <is>
          <t>UVAs</t>
        </is>
      </c>
    </row>
    <row r="3">
      <c r="A3" s="44" t="inlineStr">
        <is>
          <t>Total</t>
        </is>
      </c>
      <c r="B3" s="14" t="n">
        <v>1000.6</v>
      </c>
      <c r="C3" s="14" t="n">
        <v>1162.1</v>
      </c>
      <c r="D3" s="14" t="n">
        <v>1035.55390812</v>
      </c>
      <c r="E3" s="14" t="n">
        <v>825.6599999999999</v>
      </c>
      <c r="F3" s="14" t="n">
        <v>1201.86</v>
      </c>
      <c r="G3" s="14" t="n">
        <v>1438.73</v>
      </c>
      <c r="H3" s="14" t="n">
        <v>2928.0004</v>
      </c>
      <c r="I3" s="14" t="n">
        <v>12.5</v>
      </c>
      <c r="J3" s="14" t="n">
        <v>93.84</v>
      </c>
      <c r="K3" s="14" t="n">
        <v>197.21</v>
      </c>
      <c r="L3" s="14" t="n">
        <v>2162.1637</v>
      </c>
      <c r="M3" s="14" t="n">
        <v>702.1199999999999</v>
      </c>
      <c r="N3" s="14" t="n">
        <v>361.74</v>
      </c>
      <c r="O3" s="14" t="n">
        <v>199.15</v>
      </c>
      <c r="P3" s="14" t="n">
        <v>2687.81951246</v>
      </c>
      <c r="Q3" s="14" t="n">
        <v>795.2148999999999</v>
      </c>
      <c r="R3" s="14" t="n">
        <v>366.3913</v>
      </c>
      <c r="S3" s="14" t="n">
        <v>197.3603</v>
      </c>
      <c r="T3" s="14" t="n">
        <v>3190.82055421</v>
      </c>
      <c r="U3" s="14" t="n">
        <v>1441.5514</v>
      </c>
      <c r="V3" s="14" t="n">
        <v>371.8647</v>
      </c>
      <c r="W3" s="14" t="n">
        <v>173.3249</v>
      </c>
      <c r="X3" s="14" t="n">
        <v>3069.733326</v>
      </c>
      <c r="Y3" s="14" t="n">
        <v>1382.2263</v>
      </c>
      <c r="Z3" s="14" t="n">
        <v>404.6549</v>
      </c>
      <c r="AA3" s="14" t="n">
        <v>107.9317</v>
      </c>
      <c r="AB3" s="14" t="n">
        <v>2722.11991185</v>
      </c>
      <c r="AC3" s="14" t="n">
        <v>1096.9815</v>
      </c>
      <c r="AD3" s="14" t="n">
        <v>452.143</v>
      </c>
      <c r="AE3" s="14" t="n">
        <v>43.4719</v>
      </c>
      <c r="AF3" s="14" t="n">
        <v>3688.0461065315</v>
      </c>
      <c r="AG3" s="14" t="n">
        <v>2070.2912</v>
      </c>
      <c r="AH3" s="14" t="n">
        <v>441.9628</v>
      </c>
      <c r="AI3" s="14" t="n">
        <v>19.0719</v>
      </c>
      <c r="AJ3" s="14" t="n">
        <v>4899.370722811999</v>
      </c>
      <c r="AK3" s="14" t="n">
        <v>3288.2338</v>
      </c>
      <c r="AL3" s="14" t="n">
        <v>389.0427</v>
      </c>
      <c r="AM3" s="14" t="n">
        <v>24.3778</v>
      </c>
      <c r="AN3" s="14" t="n">
        <v>6861.7634193256</v>
      </c>
      <c r="AO3" s="14" t="n">
        <v>3466.9338</v>
      </c>
      <c r="AP3" s="14" t="n">
        <v>775.2832000000001</v>
      </c>
      <c r="AQ3" s="8" t="n">
        <v>58.7884</v>
      </c>
      <c r="AR3" s="14" t="n">
        <v>6573.0954722058</v>
      </c>
      <c r="AS3" s="14" t="n">
        <v>2874.3102</v>
      </c>
      <c r="AT3" s="14" t="n">
        <v>752.5825</v>
      </c>
      <c r="AU3" s="8" t="n">
        <v>85.5177</v>
      </c>
      <c r="AV3" s="14" t="n">
        <v>11269.585120904</v>
      </c>
      <c r="AW3" s="14" t="n">
        <v>4448.012099999999</v>
      </c>
      <c r="AX3" s="14" t="n">
        <v>1257.4379</v>
      </c>
      <c r="AY3" s="14" t="n">
        <v>98.2004</v>
      </c>
      <c r="AZ3" s="14">
        <f>SUM(AZ4:AZ11)</f>
        <v/>
      </c>
      <c r="BA3" s="14" t="n">
        <v>5537.6168</v>
      </c>
      <c r="BB3" s="14" t="n">
        <v>1655.3117</v>
      </c>
      <c r="BC3" s="14" t="n">
        <v>98.0992</v>
      </c>
      <c r="BD3" s="14">
        <f>SUM(BD4:BD11)</f>
        <v/>
      </c>
      <c r="BE3" s="14" t="n">
        <v>8858.351199999999</v>
      </c>
      <c r="BF3" s="14" t="n">
        <v>1937.3886</v>
      </c>
      <c r="BG3" s="14" t="n">
        <v>97.0158</v>
      </c>
      <c r="BH3" s="14">
        <f>SUM(BH4:BH11)</f>
        <v/>
      </c>
      <c r="BI3" s="14" t="n">
        <v>13482.36</v>
      </c>
      <c r="BJ3" s="14" t="n">
        <v>2145.18</v>
      </c>
      <c r="BK3" s="14" t="n">
        <v>92.09</v>
      </c>
      <c r="BL3" s="14" t="n">
        <v>71481.53397400002</v>
      </c>
      <c r="BM3" s="14" t="n">
        <v>30608.838</v>
      </c>
      <c r="BN3" s="14" t="n">
        <v>2368.0966</v>
      </c>
      <c r="BO3" s="14" t="n">
        <v>78.3</v>
      </c>
      <c r="BP3" s="14" t="n">
        <v>94209.94008099999</v>
      </c>
      <c r="BQ3" s="14" t="n">
        <v>54820.3806</v>
      </c>
      <c r="BR3" s="14" t="n">
        <v>2043.4387</v>
      </c>
      <c r="BS3" s="14" t="n">
        <v>57.0388</v>
      </c>
      <c r="BT3" s="14" t="n">
        <v>146236.786368</v>
      </c>
      <c r="BU3" s="14" t="n">
        <v>67192.66129999999</v>
      </c>
      <c r="BV3" s="14" t="n">
        <v>2021.92059</v>
      </c>
      <c r="BW3" s="14" t="n">
        <v>33.8075</v>
      </c>
      <c r="BX3" s="14" t="n">
        <v>43.7958</v>
      </c>
      <c r="BY3" s="14" t="n">
        <v>226096.417675</v>
      </c>
      <c r="BZ3" s="14" t="n">
        <v>99971.78389999999</v>
      </c>
      <c r="CA3" s="14" t="n">
        <v>2064.4822</v>
      </c>
      <c r="CB3" s="14" t="n">
        <v>14.0388</v>
      </c>
      <c r="CC3" s="8" t="n">
        <v>32.6</v>
      </c>
      <c r="CD3" s="14" t="n">
        <v>324857.847785</v>
      </c>
      <c r="CE3" s="14" t="n">
        <v>158134.0172</v>
      </c>
      <c r="CF3" s="14" t="n">
        <v>1957.6599</v>
      </c>
      <c r="CG3" s="8" t="inlineStr">
        <is>
          <t>-</t>
        </is>
      </c>
      <c r="CH3" s="8" t="n">
        <v>30.8885</v>
      </c>
      <c r="CI3" s="14" t="n">
        <v>271752.91561</v>
      </c>
      <c r="CJ3" s="14" t="n">
        <v>108562.8</v>
      </c>
      <c r="CK3" s="14" t="n">
        <v>1488</v>
      </c>
      <c r="CL3" s="10" t="inlineStr">
        <is>
          <t>-</t>
        </is>
      </c>
      <c r="CM3" s="8" t="n">
        <v>29.311</v>
      </c>
      <c r="CN3" s="14" t="n">
        <v>363796.564</v>
      </c>
      <c r="CO3" s="14" t="n">
        <v>80123.2</v>
      </c>
      <c r="CP3" s="14">
        <f>SUM(CP4:CP12)</f>
        <v/>
      </c>
      <c r="CQ3" s="8" t="inlineStr">
        <is>
          <t>-</t>
        </is>
      </c>
      <c r="CR3" s="14">
        <f>SUM(CR4:CR12)</f>
        <v/>
      </c>
      <c r="CS3" s="14" t="n">
        <v>1336868.4</v>
      </c>
      <c r="CT3" s="14" t="n">
        <v>62225.5</v>
      </c>
      <c r="CU3" s="14" t="n">
        <v>1539</v>
      </c>
      <c r="CV3" s="8" t="inlineStr">
        <is>
          <t>-</t>
        </is>
      </c>
      <c r="CW3" s="8" t="inlineStr">
        <is>
          <t>-</t>
        </is>
      </c>
      <c r="CX3" s="14" t="n">
        <v>1618579.4</v>
      </c>
      <c r="CY3" s="14" t="n">
        <v>36007.10000000001</v>
      </c>
      <c r="CZ3" s="14" t="n">
        <v>1503.6</v>
      </c>
      <c r="DA3" s="8" t="inlineStr">
        <is>
          <t>-</t>
        </is>
      </c>
      <c r="DB3" s="8" t="inlineStr">
        <is>
          <t>-</t>
        </is>
      </c>
    </row>
    <row r="4">
      <c r="A4" s="16" t="inlineStr">
        <is>
          <t>Proveedores y Contratistas</t>
        </is>
      </c>
      <c r="B4" s="17" t="n">
        <v>481.3</v>
      </c>
      <c r="C4" s="17" t="n">
        <v>420.6</v>
      </c>
      <c r="D4" s="17" t="n">
        <v>396.49444989</v>
      </c>
      <c r="E4" s="17" t="n">
        <v>201.7</v>
      </c>
      <c r="F4" s="17" t="n">
        <v>483.73</v>
      </c>
      <c r="G4" s="17" t="n">
        <v>655.35</v>
      </c>
      <c r="H4" s="17" t="n">
        <v>665.2</v>
      </c>
      <c r="I4" s="17" t="n">
        <v>665.16</v>
      </c>
      <c r="J4" s="10" t="inlineStr">
        <is>
          <t>-</t>
        </is>
      </c>
      <c r="K4" s="10" t="inlineStr">
        <is>
          <t>-</t>
        </is>
      </c>
      <c r="L4" s="17" t="n">
        <v>356.4</v>
      </c>
      <c r="M4" s="17" t="n">
        <v>356.44</v>
      </c>
      <c r="N4" s="10" t="inlineStr">
        <is>
          <t>-</t>
        </is>
      </c>
      <c r="O4" s="10" t="inlineStr">
        <is>
          <t>-</t>
        </is>
      </c>
      <c r="P4" s="17" t="n">
        <v>454.59</v>
      </c>
      <c r="Q4" s="17" t="n">
        <v>454.59</v>
      </c>
      <c r="R4" s="10" t="inlineStr">
        <is>
          <t>-</t>
        </is>
      </c>
      <c r="S4" s="10" t="inlineStr">
        <is>
          <t>-</t>
        </is>
      </c>
      <c r="T4" s="17" t="n">
        <v>970.17</v>
      </c>
      <c r="U4" s="17" t="n">
        <v>970.17</v>
      </c>
      <c r="V4" s="10" t="inlineStr">
        <is>
          <t>-</t>
        </is>
      </c>
      <c r="W4" s="10" t="inlineStr">
        <is>
          <t>-</t>
        </is>
      </c>
      <c r="X4" s="17" t="n">
        <v>1164.316</v>
      </c>
      <c r="Y4" s="17" t="n">
        <v>1164.316</v>
      </c>
      <c r="Z4" s="10" t="inlineStr">
        <is>
          <t>-</t>
        </is>
      </c>
      <c r="AA4" s="10" t="inlineStr">
        <is>
          <t>-</t>
        </is>
      </c>
      <c r="AB4" s="17" t="n">
        <v>962.4666999999999</v>
      </c>
      <c r="AC4" s="17" t="n">
        <v>962.4666999999999</v>
      </c>
      <c r="AD4" s="10" t="inlineStr">
        <is>
          <t>-</t>
        </is>
      </c>
      <c r="AE4" s="10" t="inlineStr">
        <is>
          <t>-</t>
        </is>
      </c>
      <c r="AF4" s="17" t="n">
        <v>1975.3239</v>
      </c>
      <c r="AG4" s="17" t="n">
        <v>1975.3239</v>
      </c>
      <c r="AH4" s="10" t="inlineStr">
        <is>
          <t>-</t>
        </is>
      </c>
      <c r="AI4" s="10" t="inlineStr">
        <is>
          <t>-</t>
        </is>
      </c>
      <c r="AJ4" s="17" t="n">
        <v>2326.3446</v>
      </c>
      <c r="AK4" s="17" t="n">
        <v>2326.3446</v>
      </c>
      <c r="AL4" s="10" t="inlineStr">
        <is>
          <t>-</t>
        </is>
      </c>
      <c r="AM4" s="10" t="inlineStr">
        <is>
          <t>-</t>
        </is>
      </c>
      <c r="AN4" s="17" t="n">
        <v>2349.6618</v>
      </c>
      <c r="AO4" s="10" t="n">
        <v>2349.6618</v>
      </c>
      <c r="AP4" s="10" t="inlineStr">
        <is>
          <t>-</t>
        </is>
      </c>
      <c r="AQ4" s="10" t="inlineStr">
        <is>
          <t>-</t>
        </is>
      </c>
      <c r="AR4" s="17" t="n">
        <v>2464.0964879</v>
      </c>
      <c r="AS4" s="10" t="n">
        <v>2457.9494</v>
      </c>
      <c r="AT4" s="10" t="n">
        <v>1.4359</v>
      </c>
      <c r="AU4" s="10" t="inlineStr">
        <is>
          <t>-</t>
        </is>
      </c>
      <c r="AV4" s="10" t="n">
        <v>4146.924304</v>
      </c>
      <c r="AW4" s="17" t="n">
        <v>4112.6065</v>
      </c>
      <c r="AX4" s="10" t="n">
        <v>6.978</v>
      </c>
      <c r="AY4" s="10" t="inlineStr">
        <is>
          <t>-</t>
        </is>
      </c>
      <c r="AZ4" s="10" t="n">
        <v>5387.716885</v>
      </c>
      <c r="BA4" s="17" t="n">
        <v>5352.538</v>
      </c>
      <c r="BB4" s="10" t="n">
        <v>5.3914</v>
      </c>
      <c r="BC4" s="10" t="inlineStr">
        <is>
          <t>-</t>
        </is>
      </c>
      <c r="BD4" s="17" t="n">
        <v>8020.386878</v>
      </c>
      <c r="BE4" s="10" t="n">
        <v>7994.0669</v>
      </c>
      <c r="BF4" s="10" t="n">
        <v>3.078</v>
      </c>
      <c r="BG4" s="10" t="inlineStr">
        <is>
          <t>-</t>
        </is>
      </c>
      <c r="BH4" s="17" t="n">
        <v>9793.849600000001</v>
      </c>
      <c r="BI4" s="10" t="n">
        <v>9787.460000000001</v>
      </c>
      <c r="BJ4" s="10" t="n">
        <v>0.49</v>
      </c>
      <c r="BK4" s="10" t="inlineStr">
        <is>
          <t>-</t>
        </is>
      </c>
      <c r="BL4" s="17" t="n">
        <v>21985.208076</v>
      </c>
      <c r="BM4" s="10" t="n">
        <v>21982.85</v>
      </c>
      <c r="BN4" s="10" t="n">
        <v>0.1484</v>
      </c>
      <c r="BO4" s="10" t="inlineStr">
        <is>
          <t>-</t>
        </is>
      </c>
      <c r="BP4" s="10" t="n">
        <v>24439.0599</v>
      </c>
      <c r="BQ4" s="10" t="n">
        <v>24439.0599</v>
      </c>
      <c r="BR4" s="10" t="inlineStr">
        <is>
          <t>-</t>
        </is>
      </c>
      <c r="BS4" s="10" t="inlineStr">
        <is>
          <t>-</t>
        </is>
      </c>
      <c r="BT4" s="10" t="n">
        <v>33107.785</v>
      </c>
      <c r="BU4" s="10" t="n">
        <v>33063.0315</v>
      </c>
      <c r="BV4" s="10" t="n">
        <v>1.18663</v>
      </c>
      <c r="BW4" s="10" t="inlineStr">
        <is>
          <t>-</t>
        </is>
      </c>
      <c r="BX4" s="10" t="inlineStr">
        <is>
          <t>-</t>
        </is>
      </c>
      <c r="BY4" s="10" t="n">
        <v>43502.43257</v>
      </c>
      <c r="BZ4" s="10" t="n">
        <v>43464.5338</v>
      </c>
      <c r="CA4" s="10" t="n">
        <v>0.6193</v>
      </c>
      <c r="CB4" s="10" t="inlineStr">
        <is>
          <t>-</t>
        </is>
      </c>
      <c r="CC4" s="10" t="inlineStr">
        <is>
          <t>-</t>
        </is>
      </c>
      <c r="CD4" s="10" t="n">
        <v>61308.9274</v>
      </c>
      <c r="CE4" s="10" t="n">
        <v>61308.9274</v>
      </c>
      <c r="CF4" s="10" t="inlineStr">
        <is>
          <t>-</t>
        </is>
      </c>
      <c r="CG4" s="10" t="inlineStr">
        <is>
          <t>-</t>
        </is>
      </c>
      <c r="CH4" s="10" t="inlineStr">
        <is>
          <t>-</t>
        </is>
      </c>
      <c r="CI4" s="10" t="inlineStr">
        <is>
          <t>-</t>
        </is>
      </c>
      <c r="CJ4" s="10" t="inlineStr">
        <is>
          <t>-</t>
        </is>
      </c>
      <c r="CK4" s="10" t="inlineStr">
        <is>
          <t>-</t>
        </is>
      </c>
      <c r="CL4" s="10" t="inlineStr">
        <is>
          <t>-</t>
        </is>
      </c>
      <c r="CM4" s="10" t="inlineStr">
        <is>
          <t>-</t>
        </is>
      </c>
      <c r="CN4" s="10" t="inlineStr">
        <is>
          <t>-</t>
        </is>
      </c>
      <c r="CO4" s="10" t="inlineStr">
        <is>
          <t>-</t>
        </is>
      </c>
      <c r="CP4" s="10" t="inlineStr">
        <is>
          <t>-</t>
        </is>
      </c>
      <c r="CQ4" s="10" t="inlineStr">
        <is>
          <t>-</t>
        </is>
      </c>
      <c r="CR4" s="10" t="inlineStr">
        <is>
          <t>-</t>
        </is>
      </c>
      <c r="CS4" s="10" t="inlineStr">
        <is>
          <t>-</t>
        </is>
      </c>
      <c r="CT4" s="10" t="inlineStr">
        <is>
          <t>-</t>
        </is>
      </c>
      <c r="CU4" s="10" t="inlineStr">
        <is>
          <t>-</t>
        </is>
      </c>
      <c r="CV4" s="10" t="inlineStr">
        <is>
          <t>-</t>
        </is>
      </c>
      <c r="CW4" s="10" t="inlineStr">
        <is>
          <t>-</t>
        </is>
      </c>
      <c r="CX4" s="10" t="inlineStr">
        <is>
          <t>-</t>
        </is>
      </c>
      <c r="CY4" s="10" t="inlineStr">
        <is>
          <t>-</t>
        </is>
      </c>
      <c r="CZ4" s="10" t="inlineStr">
        <is>
          <t>-</t>
        </is>
      </c>
      <c r="DA4" s="10" t="inlineStr">
        <is>
          <t>-</t>
        </is>
      </c>
      <c r="DB4" s="10" t="inlineStr">
        <is>
          <t>-</t>
        </is>
      </c>
    </row>
    <row r="5">
      <c r="A5" s="16" t="inlineStr">
        <is>
          <t>Deuda previsional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n">
        <v>62</v>
      </c>
      <c r="F5" s="10" t="n">
        <v>96.90000000000001</v>
      </c>
      <c r="G5" s="10" t="n">
        <v>89.09</v>
      </c>
      <c r="H5" s="10" t="n">
        <v>87.88</v>
      </c>
      <c r="I5" s="10" t="n">
        <v>87.88</v>
      </c>
      <c r="J5" s="10" t="inlineStr">
        <is>
          <t>-</t>
        </is>
      </c>
      <c r="K5" s="10" t="inlineStr">
        <is>
          <t>-</t>
        </is>
      </c>
      <c r="L5" s="10" t="n">
        <v>64.02</v>
      </c>
      <c r="M5" s="10" t="n">
        <v>64.02</v>
      </c>
      <c r="N5" s="10" t="inlineStr">
        <is>
          <t>-</t>
        </is>
      </c>
      <c r="O5" s="10" t="inlineStr">
        <is>
          <t>-</t>
        </is>
      </c>
      <c r="P5" s="10" t="n">
        <v>38.92</v>
      </c>
      <c r="Q5" s="10" t="n">
        <v>38.92</v>
      </c>
      <c r="R5" s="10" t="inlineStr">
        <is>
          <t>-</t>
        </is>
      </c>
      <c r="S5" s="10" t="inlineStr">
        <is>
          <t>-</t>
        </is>
      </c>
      <c r="T5" s="10" t="n">
        <v>35.9</v>
      </c>
      <c r="U5" s="10" t="n">
        <v>35.8677</v>
      </c>
      <c r="V5" s="10" t="inlineStr">
        <is>
          <t>-</t>
        </is>
      </c>
      <c r="W5" s="10" t="inlineStr">
        <is>
          <t>-</t>
        </is>
      </c>
      <c r="X5" s="10" t="n">
        <v>34.2876</v>
      </c>
      <c r="Y5" s="10" t="n">
        <v>34.2876</v>
      </c>
      <c r="Z5" s="10" t="inlineStr">
        <is>
          <t>-</t>
        </is>
      </c>
      <c r="AA5" s="10" t="inlineStr">
        <is>
          <t>-</t>
        </is>
      </c>
      <c r="AB5" s="10" t="n">
        <v>34.1133</v>
      </c>
      <c r="AC5" s="10" t="n">
        <v>34.1133</v>
      </c>
      <c r="AD5" s="10" t="inlineStr">
        <is>
          <t>-</t>
        </is>
      </c>
      <c r="AE5" s="10" t="inlineStr">
        <is>
          <t>-</t>
        </is>
      </c>
      <c r="AF5" s="10" t="n">
        <v>33.5211</v>
      </c>
      <c r="AG5" s="10" t="n">
        <v>33.5211</v>
      </c>
      <c r="AH5" s="10" t="inlineStr">
        <is>
          <t>-</t>
        </is>
      </c>
      <c r="AI5" s="10" t="inlineStr">
        <is>
          <t>-</t>
        </is>
      </c>
      <c r="AJ5" s="10" t="n">
        <v>33.1605</v>
      </c>
      <c r="AK5" s="10" t="n">
        <v>33.1605</v>
      </c>
      <c r="AL5" s="10" t="inlineStr">
        <is>
          <t>-</t>
        </is>
      </c>
      <c r="AM5" s="10" t="inlineStr">
        <is>
          <t>-</t>
        </is>
      </c>
      <c r="AN5" s="10" t="n">
        <v>32.7616</v>
      </c>
      <c r="AO5" s="10" t="n">
        <v>32.7616</v>
      </c>
      <c r="AP5" s="10" t="inlineStr">
        <is>
          <t>-</t>
        </is>
      </c>
      <c r="AQ5" s="10" t="inlineStr">
        <is>
          <t>-</t>
        </is>
      </c>
      <c r="AR5" s="10" t="n">
        <v>32.6701</v>
      </c>
      <c r="AS5" s="10" t="n">
        <v>32.6701</v>
      </c>
      <c r="AT5" s="10" t="inlineStr">
        <is>
          <t>-</t>
        </is>
      </c>
      <c r="AU5" s="10" t="inlineStr">
        <is>
          <t>-</t>
        </is>
      </c>
      <c r="AV5" s="10" t="n">
        <v>32.611</v>
      </c>
      <c r="AW5" s="10" t="n">
        <v>32.611</v>
      </c>
      <c r="AX5" s="10" t="inlineStr">
        <is>
          <t>-</t>
        </is>
      </c>
      <c r="AY5" s="10" t="inlineStr">
        <is>
          <t>-</t>
        </is>
      </c>
      <c r="AZ5" s="10" t="n">
        <v>32.7004</v>
      </c>
      <c r="BA5" s="10" t="n">
        <v>32.7004</v>
      </c>
      <c r="BB5" s="10" t="inlineStr">
        <is>
          <t>-</t>
        </is>
      </c>
      <c r="BC5" s="10" t="inlineStr">
        <is>
          <t>-</t>
        </is>
      </c>
      <c r="BD5" s="10" t="n">
        <v>32.7549</v>
      </c>
      <c r="BE5" s="10" t="n">
        <v>32.7549</v>
      </c>
      <c r="BF5" s="10" t="inlineStr">
        <is>
          <t>-</t>
        </is>
      </c>
      <c r="BG5" s="10" t="inlineStr">
        <is>
          <t>-</t>
        </is>
      </c>
      <c r="BH5" s="10" t="n">
        <v>32.83</v>
      </c>
      <c r="BI5" s="10" t="n">
        <v>32.83</v>
      </c>
      <c r="BJ5" s="10" t="inlineStr">
        <is>
          <t>-</t>
        </is>
      </c>
      <c r="BK5" s="10" t="inlineStr">
        <is>
          <t>-</t>
        </is>
      </c>
      <c r="BL5" s="10" t="n">
        <v>32.8</v>
      </c>
      <c r="BM5" s="10" t="n">
        <v>32.8</v>
      </c>
      <c r="BN5" s="10" t="inlineStr">
        <is>
          <t>-</t>
        </is>
      </c>
      <c r="BO5" s="10" t="inlineStr">
        <is>
          <t>-</t>
        </is>
      </c>
      <c r="BP5" s="10" t="n">
        <v>32.8</v>
      </c>
      <c r="BQ5" s="10" t="n">
        <v>32.8</v>
      </c>
      <c r="BR5" s="10" t="inlineStr">
        <is>
          <t>-</t>
        </is>
      </c>
      <c r="BS5" s="10" t="inlineStr">
        <is>
          <t>-</t>
        </is>
      </c>
      <c r="BT5" s="10" t="n">
        <v>32.9536</v>
      </c>
      <c r="BU5" s="10" t="n">
        <v>32.9536</v>
      </c>
      <c r="BV5" s="10" t="inlineStr">
        <is>
          <t>-</t>
        </is>
      </c>
      <c r="BW5" s="10" t="inlineStr">
        <is>
          <t>-</t>
        </is>
      </c>
      <c r="BX5" s="10" t="inlineStr">
        <is>
          <t>-</t>
        </is>
      </c>
      <c r="BY5" s="10" t="n">
        <v>32.9536</v>
      </c>
      <c r="BZ5" s="10" t="n">
        <v>32.9536</v>
      </c>
      <c r="CA5" s="10" t="inlineStr">
        <is>
          <t>-</t>
        </is>
      </c>
      <c r="CB5" s="10" t="inlineStr">
        <is>
          <t>-</t>
        </is>
      </c>
      <c r="CC5" s="10" t="inlineStr">
        <is>
          <t>-</t>
        </is>
      </c>
      <c r="CD5" s="10" t="inlineStr">
        <is>
          <t>-</t>
        </is>
      </c>
      <c r="CE5" s="10" t="inlineStr">
        <is>
          <t>-</t>
        </is>
      </c>
      <c r="CF5" s="10" t="inlineStr">
        <is>
          <t>-</t>
        </is>
      </c>
      <c r="CG5" s="10" t="inlineStr">
        <is>
          <t>-</t>
        </is>
      </c>
      <c r="CH5" s="10" t="inlineStr">
        <is>
          <t>-</t>
        </is>
      </c>
      <c r="CI5" s="10" t="inlineStr">
        <is>
          <t>-</t>
        </is>
      </c>
      <c r="CJ5" s="10" t="inlineStr">
        <is>
          <t>-</t>
        </is>
      </c>
      <c r="CK5" s="10" t="inlineStr">
        <is>
          <t>-</t>
        </is>
      </c>
      <c r="CL5" s="10" t="inlineStr">
        <is>
          <t>-</t>
        </is>
      </c>
      <c r="CM5" s="10" t="inlineStr">
        <is>
          <t>-</t>
        </is>
      </c>
      <c r="CN5" s="10" t="inlineStr">
        <is>
          <t>-</t>
        </is>
      </c>
      <c r="CO5" s="10" t="inlineStr">
        <is>
          <t>-</t>
        </is>
      </c>
      <c r="CP5" s="10" t="inlineStr">
        <is>
          <t>-</t>
        </is>
      </c>
      <c r="CQ5" s="10" t="inlineStr">
        <is>
          <t>-</t>
        </is>
      </c>
      <c r="CR5" s="10" t="inlineStr">
        <is>
          <t>-</t>
        </is>
      </c>
      <c r="CS5" s="10" t="inlineStr">
        <is>
          <t>-</t>
        </is>
      </c>
      <c r="CT5" s="10" t="inlineStr">
        <is>
          <t>-</t>
        </is>
      </c>
      <c r="CU5" s="10" t="inlineStr">
        <is>
          <t>-</t>
        </is>
      </c>
      <c r="CV5" s="10" t="inlineStr">
        <is>
          <t>-</t>
        </is>
      </c>
      <c r="CW5" s="10" t="inlineStr">
        <is>
          <t>-</t>
        </is>
      </c>
      <c r="CX5" s="10" t="inlineStr">
        <is>
          <t>-</t>
        </is>
      </c>
      <c r="CY5" s="10" t="inlineStr">
        <is>
          <t>-</t>
        </is>
      </c>
      <c r="CZ5" s="10" t="inlineStr">
        <is>
          <t>-</t>
        </is>
      </c>
      <c r="DA5" s="10" t="inlineStr">
        <is>
          <t>-</t>
        </is>
      </c>
      <c r="DB5" s="10" t="inlineStr">
        <is>
          <t>-</t>
        </is>
      </c>
    </row>
    <row r="6">
      <c r="A6" s="16" t="inlineStr">
        <is>
          <t>Títulos públicos</t>
        </is>
      </c>
      <c r="B6" s="10" t="inlineStr">
        <is>
          <t>-</t>
        </is>
      </c>
      <c r="C6" s="17" t="n">
        <v>496.2</v>
      </c>
      <c r="D6" s="17" t="n">
        <v>499.97873959</v>
      </c>
      <c r="E6" s="17" t="n">
        <v>488.9</v>
      </c>
      <c r="F6" s="17" t="n">
        <v>562.2</v>
      </c>
      <c r="G6" s="17" t="n">
        <v>562.2</v>
      </c>
      <c r="H6" s="17" t="n">
        <v>1846.1796</v>
      </c>
      <c r="I6" s="17" t="n">
        <v>207.81</v>
      </c>
      <c r="J6" s="10" t="n">
        <v>279.59</v>
      </c>
      <c r="K6" s="10" t="n">
        <v>197.21</v>
      </c>
      <c r="L6" s="17" t="n">
        <v>1416.0587</v>
      </c>
      <c r="M6" s="17" t="n">
        <v>270.95</v>
      </c>
      <c r="N6" s="10" t="n">
        <v>254.24</v>
      </c>
      <c r="O6" s="10" t="n">
        <v>199.15</v>
      </c>
      <c r="P6" s="17" t="n">
        <v>1850.04916666</v>
      </c>
      <c r="Q6" s="17" t="n">
        <v>291.54</v>
      </c>
      <c r="R6" s="10" t="n">
        <v>254.2411</v>
      </c>
      <c r="S6" s="10" t="n">
        <v>197.3603</v>
      </c>
      <c r="T6" s="17" t="n">
        <v>1820.78854381</v>
      </c>
      <c r="U6" s="17" t="n">
        <v>427.6577</v>
      </c>
      <c r="V6" s="10" t="n">
        <v>254.43</v>
      </c>
      <c r="W6" s="10" t="n">
        <v>173.3249</v>
      </c>
      <c r="X6" s="17" t="n">
        <v>1400.231435</v>
      </c>
      <c r="Y6" s="17" t="n">
        <v>176.7494</v>
      </c>
      <c r="Z6" s="10" t="n">
        <v>254.485</v>
      </c>
      <c r="AA6" s="10" t="n">
        <v>107.9317</v>
      </c>
      <c r="AB6" s="17" t="n">
        <v>1089.32962825</v>
      </c>
      <c r="AC6" s="17" t="n">
        <v>94.98260000000001</v>
      </c>
      <c r="AD6" s="10" t="n">
        <v>254.485</v>
      </c>
      <c r="AE6" s="10" t="n">
        <v>41.6655</v>
      </c>
      <c r="AF6" s="17" t="n">
        <v>994.6055377905001</v>
      </c>
      <c r="AG6" s="10" t="n">
        <v>57.4038</v>
      </c>
      <c r="AH6" s="10" t="n">
        <v>254.485</v>
      </c>
      <c r="AI6" s="10" t="n">
        <v>12.1653</v>
      </c>
      <c r="AJ6" s="17" t="n">
        <v>1461.87878</v>
      </c>
      <c r="AK6" s="17" t="n">
        <v>626.2071</v>
      </c>
      <c r="AL6" s="10" t="n">
        <v>219.9136</v>
      </c>
      <c r="AM6" s="10" t="inlineStr">
        <is>
          <t>-</t>
        </is>
      </c>
      <c r="AN6" s="17" t="n">
        <v>3024.1</v>
      </c>
      <c r="AO6" s="10" t="n">
        <v>540.6</v>
      </c>
      <c r="AP6" s="10" t="n">
        <v>624.6</v>
      </c>
      <c r="AQ6" s="10" t="inlineStr">
        <is>
          <t>-</t>
        </is>
      </c>
      <c r="AR6" s="17" t="n">
        <v>2645.9167584</v>
      </c>
      <c r="AS6" s="10" t="n">
        <v>2.5431</v>
      </c>
      <c r="AT6" s="10" t="n">
        <v>617.4664</v>
      </c>
      <c r="AU6" s="10" t="inlineStr">
        <is>
          <t>-</t>
        </is>
      </c>
      <c r="AV6" s="17" t="n">
        <v>5770.479314</v>
      </c>
      <c r="AW6" s="17" t="n">
        <v>195.5673</v>
      </c>
      <c r="AX6" s="17" t="n">
        <v>1133.573</v>
      </c>
      <c r="AY6" s="10" t="inlineStr">
        <is>
          <t>-</t>
        </is>
      </c>
      <c r="AZ6" s="17" t="n">
        <v>10213.13305</v>
      </c>
      <c r="BA6" s="17" t="n">
        <v>101.9539</v>
      </c>
      <c r="BB6" s="17" t="n">
        <v>1549.606</v>
      </c>
      <c r="BC6" s="10" t="inlineStr">
        <is>
          <t>-</t>
        </is>
      </c>
      <c r="BD6" s="17" t="n">
        <v>16198.449254</v>
      </c>
      <c r="BE6" s="10" t="n">
        <v>374.362</v>
      </c>
      <c r="BF6" s="10" t="n">
        <v>1850.554</v>
      </c>
      <c r="BG6" s="10" t="inlineStr">
        <is>
          <t>-</t>
        </is>
      </c>
      <c r="BH6" s="17" t="n">
        <v>26191.4416</v>
      </c>
      <c r="BI6" s="10" t="n">
        <v>1216.06</v>
      </c>
      <c r="BJ6" s="10" t="n">
        <v>1915.29</v>
      </c>
      <c r="BK6" s="10" t="inlineStr">
        <is>
          <t>-</t>
        </is>
      </c>
      <c r="BL6" s="17" t="n">
        <v>39430.27589800001</v>
      </c>
      <c r="BM6" s="10" t="n">
        <v>4395.238</v>
      </c>
      <c r="BN6" s="10" t="n">
        <v>2204.8482</v>
      </c>
      <c r="BO6" s="10" t="inlineStr">
        <is>
          <t>-</t>
        </is>
      </c>
      <c r="BP6" s="17" t="n">
        <v>52258.2605</v>
      </c>
      <c r="BQ6" s="10" t="n">
        <v>22259.2661</v>
      </c>
      <c r="BR6" s="10" t="n">
        <v>1608.5596</v>
      </c>
      <c r="BS6" s="10" t="inlineStr">
        <is>
          <t>-</t>
        </is>
      </c>
      <c r="BT6" s="17" t="n">
        <v>83601.30100000001</v>
      </c>
      <c r="BU6" s="10" t="n">
        <v>28304.3623</v>
      </c>
      <c r="BV6" s="10" t="n">
        <v>1466.8105</v>
      </c>
      <c r="BW6" s="10" t="inlineStr">
        <is>
          <t>-</t>
        </is>
      </c>
      <c r="BX6" s="10" t="inlineStr">
        <is>
          <t>-</t>
        </is>
      </c>
      <c r="BY6" s="17" t="n">
        <v>122847.458592</v>
      </c>
      <c r="BZ6" s="10" t="n">
        <v>47782.9616</v>
      </c>
      <c r="CA6" s="10" t="n">
        <v>1253.3728</v>
      </c>
      <c r="CB6" s="10" t="inlineStr">
        <is>
          <t>-</t>
        </is>
      </c>
      <c r="CC6" s="10" t="inlineStr">
        <is>
          <t>-</t>
        </is>
      </c>
      <c r="CD6" s="17" t="n">
        <v>178151.00534</v>
      </c>
      <c r="CE6" s="10" t="n">
        <v>87988.18490000001</v>
      </c>
      <c r="CF6" s="10" t="n">
        <v>1071.4536</v>
      </c>
      <c r="CG6" s="10" t="inlineStr">
        <is>
          <t>-</t>
        </is>
      </c>
      <c r="CH6" s="10" t="inlineStr">
        <is>
          <t>-</t>
        </is>
      </c>
      <c r="CI6" s="17" t="n">
        <v>195991.3</v>
      </c>
      <c r="CJ6" s="10" t="n">
        <v>100093.8</v>
      </c>
      <c r="CK6" s="10" t="n">
        <v>890</v>
      </c>
      <c r="CL6" s="10" t="inlineStr">
        <is>
          <t>-</t>
        </is>
      </c>
      <c r="CM6" s="10" t="inlineStr">
        <is>
          <t>-</t>
        </is>
      </c>
      <c r="CN6" s="10" t="n">
        <v>239728.6</v>
      </c>
      <c r="CO6" s="10" t="n">
        <v>76636.10000000001</v>
      </c>
      <c r="CP6" s="10" t="n">
        <v>890</v>
      </c>
      <c r="CQ6" s="19" t="inlineStr">
        <is>
          <t>-</t>
        </is>
      </c>
      <c r="CR6" s="19" t="inlineStr">
        <is>
          <t>-</t>
        </is>
      </c>
      <c r="CS6" s="17" t="n">
        <v>798830</v>
      </c>
      <c r="CT6" s="10" t="n">
        <v>61687.5</v>
      </c>
      <c r="CU6" s="10" t="n">
        <v>890</v>
      </c>
      <c r="CV6" s="10" t="inlineStr">
        <is>
          <t>-</t>
        </is>
      </c>
      <c r="CW6" s="10" t="inlineStr">
        <is>
          <t>-</t>
        </is>
      </c>
      <c r="CX6" s="17" t="n">
        <v>972409.3</v>
      </c>
      <c r="CY6" s="10" t="n">
        <v>35684.3</v>
      </c>
      <c r="CZ6" s="10" t="n">
        <v>890</v>
      </c>
      <c r="DA6" s="10" t="inlineStr">
        <is>
          <t>-</t>
        </is>
      </c>
      <c r="DB6" s="10" t="inlineStr">
        <is>
          <t>-</t>
        </is>
      </c>
    </row>
    <row r="7">
      <c r="A7" s="45" t="inlineStr">
        <is>
          <t>Letras del Tesoro Ley 3395 art. 2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 t="inlineStr">
        <is>
          <t>-</t>
        </is>
      </c>
      <c r="V7" s="10" t="inlineStr">
        <is>
          <t>-</t>
        </is>
      </c>
      <c r="W7" s="10" t="inlineStr">
        <is>
          <t>-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  <c r="AI7" s="10" t="inlineStr">
        <is>
          <t>-</t>
        </is>
      </c>
      <c r="AJ7" s="17" t="n">
        <v>300.7434</v>
      </c>
      <c r="AK7" s="10" t="n">
        <v>300.7434</v>
      </c>
      <c r="AL7" s="10" t="inlineStr">
        <is>
          <t>-</t>
        </is>
      </c>
      <c r="AM7" s="10" t="inlineStr">
        <is>
          <t>-</t>
        </is>
      </c>
      <c r="AN7" s="17" t="n">
        <v>543.5121</v>
      </c>
      <c r="AO7" s="10" t="n">
        <v>543.5121</v>
      </c>
      <c r="AP7" s="10" t="inlineStr">
        <is>
          <t>-</t>
        </is>
      </c>
      <c r="AQ7" s="10" t="inlineStr">
        <is>
          <t>-</t>
        </is>
      </c>
      <c r="AR7" s="17" t="n">
        <v>381.1476</v>
      </c>
      <c r="AS7" s="10" t="n">
        <v>381.1476</v>
      </c>
      <c r="AT7" s="10" t="inlineStr">
        <is>
          <t>-</t>
        </is>
      </c>
      <c r="AU7" s="10" t="inlineStr">
        <is>
          <t>-</t>
        </is>
      </c>
      <c r="AV7" s="10" t="inlineStr">
        <is>
          <t>-</t>
        </is>
      </c>
      <c r="AW7" s="10" t="inlineStr">
        <is>
          <t>-</t>
        </is>
      </c>
      <c r="AX7" s="10" t="inlineStr">
        <is>
          <t>-</t>
        </is>
      </c>
      <c r="AY7" s="10" t="inlineStr">
        <is>
          <t>-</t>
        </is>
      </c>
      <c r="AZ7" s="10" t="inlineStr">
        <is>
          <t>-</t>
        </is>
      </c>
      <c r="BA7" s="10" t="inlineStr">
        <is>
          <t>-</t>
        </is>
      </c>
      <c r="BB7" s="10" t="inlineStr">
        <is>
          <t>-</t>
        </is>
      </c>
      <c r="BC7" s="10" t="inlineStr">
        <is>
          <t>-</t>
        </is>
      </c>
      <c r="BD7" s="17" t="n">
        <v>441.4464</v>
      </c>
      <c r="BE7" s="10" t="n">
        <v>441.4464</v>
      </c>
      <c r="BF7" s="10" t="inlineStr">
        <is>
          <t>-</t>
        </is>
      </c>
      <c r="BG7" s="10" t="inlineStr">
        <is>
          <t>-</t>
        </is>
      </c>
      <c r="BH7" s="17" t="n">
        <v>2446.01</v>
      </c>
      <c r="BI7" s="10" t="n">
        <v>2446.01</v>
      </c>
      <c r="BJ7" s="10" t="inlineStr">
        <is>
          <t>-</t>
        </is>
      </c>
      <c r="BK7" s="10" t="inlineStr">
        <is>
          <t>-</t>
        </is>
      </c>
      <c r="BL7" s="10" t="n">
        <v>2107.9</v>
      </c>
      <c r="BM7" s="10" t="n">
        <v>2107.9</v>
      </c>
      <c r="BN7" s="10" t="inlineStr">
        <is>
          <t>-</t>
        </is>
      </c>
      <c r="BO7" s="10" t="inlineStr">
        <is>
          <t>-</t>
        </is>
      </c>
      <c r="BP7" s="10" t="n">
        <v>3916.4239</v>
      </c>
      <c r="BQ7" s="10" t="n">
        <v>3916.4239</v>
      </c>
      <c r="BR7" s="10" t="inlineStr">
        <is>
          <t>-</t>
        </is>
      </c>
      <c r="BS7" s="10" t="inlineStr">
        <is>
          <t>-</t>
        </is>
      </c>
      <c r="BT7" s="10" t="inlineStr">
        <is>
          <t>-</t>
        </is>
      </c>
      <c r="BU7" s="10" t="inlineStr">
        <is>
          <t>-</t>
        </is>
      </c>
      <c r="BV7" s="10" t="inlineStr">
        <is>
          <t>-</t>
        </is>
      </c>
      <c r="BW7" s="10" t="inlineStr">
        <is>
          <t>-</t>
        </is>
      </c>
      <c r="BX7" s="10" t="inlineStr">
        <is>
          <t>-</t>
        </is>
      </c>
      <c r="BY7" s="10" t="inlineStr">
        <is>
          <t>-</t>
        </is>
      </c>
      <c r="BZ7" s="10" t="inlineStr">
        <is>
          <t>-</t>
        </is>
      </c>
      <c r="CA7" s="10" t="inlineStr">
        <is>
          <t>-</t>
        </is>
      </c>
      <c r="CB7" s="10" t="inlineStr">
        <is>
          <t>-</t>
        </is>
      </c>
      <c r="CC7" s="10" t="inlineStr">
        <is>
          <t>-</t>
        </is>
      </c>
      <c r="CD7" s="10" t="inlineStr">
        <is>
          <t>-</t>
        </is>
      </c>
      <c r="CE7" s="10" t="inlineStr">
        <is>
          <t>-</t>
        </is>
      </c>
      <c r="CF7" s="10" t="inlineStr">
        <is>
          <t>-</t>
        </is>
      </c>
      <c r="CG7" s="10" t="inlineStr">
        <is>
          <t>-</t>
        </is>
      </c>
      <c r="CH7" s="10" t="inlineStr">
        <is>
          <t>-</t>
        </is>
      </c>
      <c r="CI7" s="10" t="inlineStr">
        <is>
          <t>-</t>
        </is>
      </c>
      <c r="CJ7" s="10" t="inlineStr">
        <is>
          <t>-</t>
        </is>
      </c>
      <c r="CK7" s="10" t="inlineStr">
        <is>
          <t>-</t>
        </is>
      </c>
      <c r="CL7" s="10" t="inlineStr">
        <is>
          <t>-</t>
        </is>
      </c>
      <c r="CM7" s="10" t="inlineStr">
        <is>
          <t>-</t>
        </is>
      </c>
      <c r="CN7" s="10" t="inlineStr">
        <is>
          <t>-</t>
        </is>
      </c>
      <c r="CO7" s="10" t="inlineStr">
        <is>
          <t>-</t>
        </is>
      </c>
      <c r="CP7" s="10" t="inlineStr">
        <is>
          <t>-</t>
        </is>
      </c>
      <c r="CQ7" s="10" t="inlineStr">
        <is>
          <t>-</t>
        </is>
      </c>
      <c r="CR7" s="10" t="inlineStr">
        <is>
          <t>-</t>
        </is>
      </c>
      <c r="CS7" s="10" t="inlineStr">
        <is>
          <t>-</t>
        </is>
      </c>
      <c r="CT7" s="10" t="inlineStr">
        <is>
          <t>-</t>
        </is>
      </c>
      <c r="CU7" s="10" t="inlineStr">
        <is>
          <t>-</t>
        </is>
      </c>
      <c r="CV7" s="10" t="inlineStr">
        <is>
          <t>-</t>
        </is>
      </c>
      <c r="CW7" s="10" t="inlineStr">
        <is>
          <t>-</t>
        </is>
      </c>
      <c r="CX7" s="10" t="inlineStr">
        <is>
          <t>-</t>
        </is>
      </c>
      <c r="CY7" s="10" t="inlineStr">
        <is>
          <t>-</t>
        </is>
      </c>
      <c r="CZ7" s="10" t="inlineStr">
        <is>
          <t>-</t>
        </is>
      </c>
      <c r="DA7" s="10" t="inlineStr">
        <is>
          <t>-</t>
        </is>
      </c>
      <c r="DB7" s="10" t="inlineStr">
        <is>
          <t>-</t>
        </is>
      </c>
      <c r="DC7" s="35" t="n"/>
    </row>
    <row r="8">
      <c r="A8" s="16" t="inlineStr">
        <is>
          <t xml:space="preserve">Deuda financiera </t>
        </is>
      </c>
      <c r="B8" s="10" t="n">
        <v>496.1</v>
      </c>
      <c r="C8" s="17" t="n">
        <v>226.1</v>
      </c>
      <c r="D8" s="17" t="n">
        <v>121.48071864</v>
      </c>
      <c r="E8" s="17" t="n">
        <v>49.3</v>
      </c>
      <c r="F8" s="17" t="n">
        <v>13.81</v>
      </c>
      <c r="G8" s="17" t="n">
        <v>76.95999999999999</v>
      </c>
      <c r="H8" s="17" t="n">
        <v>11.96</v>
      </c>
      <c r="I8" s="17" t="n">
        <v>11.96</v>
      </c>
      <c r="J8" s="10" t="inlineStr">
        <is>
          <t>-</t>
        </is>
      </c>
      <c r="K8" s="10" t="inlineStr">
        <is>
          <t>-</t>
        </is>
      </c>
      <c r="L8" s="17" t="n">
        <v>10.43</v>
      </c>
      <c r="M8" s="17" t="n">
        <v>10.43</v>
      </c>
      <c r="N8" s="10" t="inlineStr">
        <is>
          <t>-</t>
        </is>
      </c>
      <c r="O8" s="10" t="inlineStr">
        <is>
          <t>-</t>
        </is>
      </c>
      <c r="P8" s="17" t="n">
        <v>10.1649</v>
      </c>
      <c r="Q8" s="17" t="n">
        <v>10.1649</v>
      </c>
      <c r="R8" s="10" t="inlineStr">
        <is>
          <t>-</t>
        </is>
      </c>
      <c r="S8" s="10" t="inlineStr">
        <is>
          <t>-</t>
        </is>
      </c>
      <c r="T8" s="17" t="n">
        <v>7.9</v>
      </c>
      <c r="U8" s="17" t="n">
        <v>7.856</v>
      </c>
      <c r="V8" s="10" t="inlineStr">
        <is>
          <t>-</t>
        </is>
      </c>
      <c r="W8" s="10" t="inlineStr">
        <is>
          <t>-</t>
        </is>
      </c>
      <c r="X8" s="17" t="n">
        <v>6.8733</v>
      </c>
      <c r="Y8" s="17" t="n">
        <v>6.8733</v>
      </c>
      <c r="Z8" s="10" t="inlineStr">
        <is>
          <t>-</t>
        </is>
      </c>
      <c r="AA8" s="10" t="inlineStr">
        <is>
          <t>-</t>
        </is>
      </c>
      <c r="AB8" s="17" t="n">
        <v>5.4189</v>
      </c>
      <c r="AC8" s="17" t="n">
        <v>5.4189</v>
      </c>
      <c r="AD8" s="10" t="inlineStr">
        <is>
          <t>-</t>
        </is>
      </c>
      <c r="AE8" s="10" t="inlineStr">
        <is>
          <t>-</t>
        </is>
      </c>
      <c r="AF8" s="17" t="n">
        <v>4.0424</v>
      </c>
      <c r="AG8" s="10" t="n">
        <v>4.0424</v>
      </c>
      <c r="AH8" s="17" t="inlineStr">
        <is>
          <t>-</t>
        </is>
      </c>
      <c r="AI8" s="17" t="inlineStr">
        <is>
          <t>-</t>
        </is>
      </c>
      <c r="AJ8" s="17" t="n">
        <v>1.7782</v>
      </c>
      <c r="AK8" s="10" t="n">
        <v>1.7782</v>
      </c>
      <c r="AL8" s="10" t="inlineStr">
        <is>
          <t>-</t>
        </is>
      </c>
      <c r="AM8" s="10" t="inlineStr">
        <is>
          <t>-</t>
        </is>
      </c>
      <c r="AN8" s="17" t="n">
        <v>0.4507</v>
      </c>
      <c r="AO8" s="10" t="n">
        <v>0.4507</v>
      </c>
      <c r="AP8" s="10" t="inlineStr">
        <is>
          <t>-</t>
        </is>
      </c>
      <c r="AQ8" s="10" t="inlineStr">
        <is>
          <t>-</t>
        </is>
      </c>
      <c r="AR8" s="10" t="inlineStr">
        <is>
          <t>-</t>
        </is>
      </c>
      <c r="AS8" s="10" t="inlineStr">
        <is>
          <t>-</t>
        </is>
      </c>
      <c r="AT8" s="10" t="inlineStr">
        <is>
          <t>-</t>
        </is>
      </c>
      <c r="AU8" s="10" t="inlineStr">
        <is>
          <t>-</t>
        </is>
      </c>
      <c r="AV8" s="10" t="inlineStr">
        <is>
          <t>-</t>
        </is>
      </c>
      <c r="AW8" s="10" t="inlineStr">
        <is>
          <t>-</t>
        </is>
      </c>
      <c r="AX8" s="10" t="inlineStr">
        <is>
          <t>-</t>
        </is>
      </c>
      <c r="AY8" s="10" t="inlineStr">
        <is>
          <t>-</t>
        </is>
      </c>
      <c r="AZ8" s="10" t="inlineStr">
        <is>
          <t>-</t>
        </is>
      </c>
      <c r="BA8" s="10" t="inlineStr">
        <is>
          <t>-</t>
        </is>
      </c>
      <c r="BB8" s="10" t="inlineStr">
        <is>
          <t>-</t>
        </is>
      </c>
      <c r="BC8" s="10" t="inlineStr">
        <is>
          <t>-</t>
        </is>
      </c>
      <c r="BD8" s="10" t="inlineStr">
        <is>
          <t>-</t>
        </is>
      </c>
      <c r="BE8" s="10" t="inlineStr">
        <is>
          <t>-</t>
        </is>
      </c>
      <c r="BF8" s="10" t="inlineStr">
        <is>
          <t>-</t>
        </is>
      </c>
      <c r="BG8" s="10" t="inlineStr">
        <is>
          <t>-</t>
        </is>
      </c>
      <c r="BH8" s="17" t="n"/>
      <c r="BI8" s="10" t="inlineStr">
        <is>
          <t>-</t>
        </is>
      </c>
      <c r="BJ8" s="10" t="inlineStr">
        <is>
          <t>-</t>
        </is>
      </c>
      <c r="BK8" s="10" t="inlineStr">
        <is>
          <t>-</t>
        </is>
      </c>
      <c r="BL8" s="10" t="inlineStr">
        <is>
          <t>-</t>
        </is>
      </c>
      <c r="BM8" s="10" t="inlineStr">
        <is>
          <t>-</t>
        </is>
      </c>
      <c r="BN8" s="10" t="inlineStr">
        <is>
          <t>-</t>
        </is>
      </c>
      <c r="BO8" s="10" t="inlineStr">
        <is>
          <t>-</t>
        </is>
      </c>
      <c r="BP8" s="10" t="inlineStr">
        <is>
          <t>-</t>
        </is>
      </c>
      <c r="BQ8" s="10" t="inlineStr">
        <is>
          <t>-</t>
        </is>
      </c>
      <c r="BR8" s="10" t="inlineStr">
        <is>
          <t>-</t>
        </is>
      </c>
      <c r="BS8" s="10" t="inlineStr">
        <is>
          <t>-</t>
        </is>
      </c>
      <c r="BT8" s="10" t="n">
        <v>1588.367468</v>
      </c>
      <c r="BU8" s="10" t="inlineStr">
        <is>
          <t>-</t>
        </is>
      </c>
      <c r="BV8" s="10" t="n">
        <v>6.04966</v>
      </c>
      <c r="BW8" s="10" t="inlineStr">
        <is>
          <t>-</t>
        </is>
      </c>
      <c r="BX8" s="10" t="n">
        <v>43.7958</v>
      </c>
      <c r="BY8" s="10" t="n">
        <v>1538.1574</v>
      </c>
      <c r="BZ8" s="10" t="inlineStr">
        <is>
          <t>-</t>
        </is>
      </c>
      <c r="CA8" s="10" t="inlineStr">
        <is>
          <t>-</t>
        </is>
      </c>
      <c r="CB8" s="10" t="inlineStr">
        <is>
          <t>-</t>
        </is>
      </c>
      <c r="CC8" s="10" t="n">
        <v>32.6157</v>
      </c>
      <c r="CD8" s="10" t="n">
        <v>1986.75</v>
      </c>
      <c r="CE8" s="10" t="inlineStr">
        <is>
          <t>-</t>
        </is>
      </c>
      <c r="CF8" s="10" t="inlineStr">
        <is>
          <t>-</t>
        </is>
      </c>
      <c r="CG8" s="10" t="inlineStr">
        <is>
          <t>-</t>
        </is>
      </c>
      <c r="CH8" s="10" t="n">
        <v>30.8885</v>
      </c>
      <c r="CI8" s="10" t="n">
        <v>2858.11561</v>
      </c>
      <c r="CJ8" s="10" t="inlineStr">
        <is>
          <t>-</t>
        </is>
      </c>
      <c r="CK8" s="10" t="inlineStr">
        <is>
          <t>-</t>
        </is>
      </c>
      <c r="CL8" s="10" t="inlineStr">
        <is>
          <t>-</t>
        </is>
      </c>
      <c r="CM8" s="10" t="n">
        <v>29.311</v>
      </c>
      <c r="CN8" s="10" t="n">
        <v>5133.364</v>
      </c>
      <c r="CO8" s="10" t="inlineStr">
        <is>
          <t>-</t>
        </is>
      </c>
      <c r="CP8" s="10" t="inlineStr">
        <is>
          <t>-</t>
        </is>
      </c>
      <c r="CQ8" s="10" t="inlineStr">
        <is>
          <t>-</t>
        </is>
      </c>
      <c r="CR8" s="10" t="n">
        <v>27.7</v>
      </c>
      <c r="CS8" s="10" t="inlineStr">
        <is>
          <t>-</t>
        </is>
      </c>
      <c r="CT8" s="10" t="inlineStr">
        <is>
          <t>-</t>
        </is>
      </c>
      <c r="CU8" s="10" t="inlineStr">
        <is>
          <t>-</t>
        </is>
      </c>
      <c r="CV8" s="10" t="inlineStr">
        <is>
          <t>-</t>
        </is>
      </c>
      <c r="CW8" s="10" t="inlineStr">
        <is>
          <t>-</t>
        </is>
      </c>
      <c r="CX8" s="10" t="inlineStr">
        <is>
          <t>-</t>
        </is>
      </c>
      <c r="CY8" s="10" t="inlineStr">
        <is>
          <t>-</t>
        </is>
      </c>
      <c r="CZ8" s="10" t="inlineStr">
        <is>
          <t>-</t>
        </is>
      </c>
      <c r="DA8" s="10" t="inlineStr">
        <is>
          <t>-</t>
        </is>
      </c>
      <c r="DB8" s="10" t="inlineStr">
        <is>
          <t>-</t>
        </is>
      </c>
    </row>
    <row r="9">
      <c r="A9" s="16" t="inlineStr">
        <is>
          <t>Organismos internacionales de crédito</t>
        </is>
      </c>
      <c r="B9" s="10" t="n">
        <v>23.2</v>
      </c>
      <c r="C9" s="10" t="n">
        <v>19.2</v>
      </c>
      <c r="D9" s="10" t="n">
        <v>17.6</v>
      </c>
      <c r="E9" s="17" t="n">
        <v>23.76</v>
      </c>
      <c r="F9" s="17" t="n">
        <v>45.22</v>
      </c>
      <c r="G9" s="17" t="n">
        <v>55.13</v>
      </c>
      <c r="H9" s="17" t="n">
        <v>316.7808000000001</v>
      </c>
      <c r="I9" s="17" t="n">
        <v>0.54</v>
      </c>
      <c r="J9" s="10" t="n">
        <v>93.84</v>
      </c>
      <c r="K9" s="10" t="inlineStr">
        <is>
          <t>-</t>
        </is>
      </c>
      <c r="L9" s="17" t="n">
        <v>315.255</v>
      </c>
      <c r="M9" s="17" t="n">
        <v>0.28</v>
      </c>
      <c r="N9" s="10" t="n">
        <v>107.5</v>
      </c>
      <c r="O9" s="10" t="inlineStr">
        <is>
          <t>-</t>
        </is>
      </c>
      <c r="P9" s="17" t="n">
        <v>334.0954458</v>
      </c>
      <c r="Q9" s="10" t="inlineStr">
        <is>
          <t>-</t>
        </is>
      </c>
      <c r="R9" s="10" t="n">
        <v>112.1502</v>
      </c>
      <c r="S9" s="10" t="inlineStr">
        <is>
          <t>-</t>
        </is>
      </c>
      <c r="T9" s="17" t="n">
        <v>356.0620104</v>
      </c>
      <c r="U9" s="10" t="inlineStr">
        <is>
          <t>-</t>
        </is>
      </c>
      <c r="V9" s="10" t="n">
        <v>117.4347</v>
      </c>
      <c r="W9" s="10" t="inlineStr">
        <is>
          <t>-</t>
        </is>
      </c>
      <c r="X9" s="17" t="n">
        <v>464.024991</v>
      </c>
      <c r="Y9" s="10" t="inlineStr">
        <is>
          <t>-</t>
        </is>
      </c>
      <c r="Z9" s="10" t="n">
        <v>150.1699</v>
      </c>
      <c r="AA9" s="10" t="inlineStr">
        <is>
          <t>-</t>
        </is>
      </c>
      <c r="AB9" s="17" t="n">
        <v>624.0108676</v>
      </c>
      <c r="AC9" s="10" t="inlineStr">
        <is>
          <t>-</t>
        </is>
      </c>
      <c r="AD9" s="10" t="n">
        <v>197.658</v>
      </c>
      <c r="AE9" s="10" t="n">
        <v>0.3424</v>
      </c>
      <c r="AF9" s="17" t="n">
        <v>680.553168741</v>
      </c>
      <c r="AG9" s="10" t="inlineStr">
        <is>
          <t>-</t>
        </is>
      </c>
      <c r="AH9" s="10" t="n">
        <v>187.4778</v>
      </c>
      <c r="AI9" s="10" t="n">
        <v>6.9066</v>
      </c>
      <c r="AJ9" s="17" t="n">
        <v>775.4652428119999</v>
      </c>
      <c r="AK9" s="10" t="inlineStr">
        <is>
          <t>-</t>
        </is>
      </c>
      <c r="AL9" s="10" t="n">
        <v>169.1291</v>
      </c>
      <c r="AM9" s="10" t="n">
        <v>24.3778</v>
      </c>
      <c r="AN9" s="17" t="n">
        <v>911.2709193256001</v>
      </c>
      <c r="AO9" s="10" t="inlineStr">
        <is>
          <t>-</t>
        </is>
      </c>
      <c r="AP9" s="10" t="n">
        <v>150.6457</v>
      </c>
      <c r="AQ9" s="10" t="n">
        <v>58.7884</v>
      </c>
      <c r="AR9" s="17" t="n">
        <v>1049.2645259058</v>
      </c>
      <c r="AS9" s="10" t="inlineStr">
        <is>
          <t>-</t>
        </is>
      </c>
      <c r="AT9" s="10" t="n">
        <v>133.6802</v>
      </c>
      <c r="AU9" s="10" t="n">
        <v>85.5177</v>
      </c>
      <c r="AV9" s="17" t="n">
        <v>1212.343202904</v>
      </c>
      <c r="AW9" s="10" t="inlineStr">
        <is>
          <t>-</t>
        </is>
      </c>
      <c r="AX9" s="10" t="n">
        <v>116.8869</v>
      </c>
      <c r="AY9" s="10" t="n">
        <v>98.2004</v>
      </c>
      <c r="AZ9" s="17" t="n">
        <v>1543.3295595</v>
      </c>
      <c r="BA9" s="10" t="inlineStr">
        <is>
          <t>-</t>
        </is>
      </c>
      <c r="BB9" s="10" t="n">
        <v>100.3143</v>
      </c>
      <c r="BC9" s="10" t="n">
        <v>98.0992</v>
      </c>
      <c r="BD9" s="17" t="n">
        <v>1725.1670066</v>
      </c>
      <c r="BE9" s="10" t="inlineStr">
        <is>
          <t>-</t>
        </is>
      </c>
      <c r="BF9" s="10" t="n">
        <v>83.75660000000001</v>
      </c>
      <c r="BG9" s="10" t="n">
        <v>97.0158</v>
      </c>
      <c r="BH9" s="17" t="n">
        <v>2587.404073</v>
      </c>
      <c r="BI9" s="10" t="inlineStr">
        <is>
          <t>-</t>
        </is>
      </c>
      <c r="BJ9" s="10" t="n">
        <v>98.06999999999999</v>
      </c>
      <c r="BK9" s="10" t="n">
        <v>92.09</v>
      </c>
      <c r="BL9" s="17" t="n">
        <v>3904.2</v>
      </c>
      <c r="BM9" s="10" t="inlineStr">
        <is>
          <t>-</t>
        </is>
      </c>
      <c r="BN9" s="10" t="n">
        <v>163.1</v>
      </c>
      <c r="BO9" s="10" t="n">
        <v>78.3</v>
      </c>
      <c r="BP9" s="17" t="n">
        <v>6335.5826</v>
      </c>
      <c r="BQ9" s="10" t="n">
        <v>888.7029</v>
      </c>
      <c r="BR9" s="10" t="n">
        <v>223.4101</v>
      </c>
      <c r="BS9" s="10" t="n">
        <v>57.0388</v>
      </c>
      <c r="BT9" s="17" t="n">
        <v>15039.0281</v>
      </c>
      <c r="BU9" s="10" t="n">
        <v>912.6879</v>
      </c>
      <c r="BV9" s="10" t="n">
        <v>335.9978</v>
      </c>
      <c r="BW9" s="10" t="n">
        <v>33.8075</v>
      </c>
      <c r="BX9" s="10" t="inlineStr">
        <is>
          <t>-</t>
        </is>
      </c>
      <c r="BY9" s="17" t="n">
        <v>38754.107734</v>
      </c>
      <c r="BZ9" s="10" t="n">
        <v>924.687</v>
      </c>
      <c r="CA9" s="10" t="n">
        <v>615.889</v>
      </c>
      <c r="CB9" s="10" t="n">
        <v>14.0388</v>
      </c>
      <c r="CC9" s="10" t="inlineStr">
        <is>
          <t>-</t>
        </is>
      </c>
      <c r="CD9" s="17" t="n">
        <v>60431.68885500001</v>
      </c>
      <c r="CE9" s="10" t="n">
        <v>897.1038</v>
      </c>
      <c r="CF9" s="10" t="n">
        <v>707.4817</v>
      </c>
      <c r="CG9" s="10" t="inlineStr">
        <is>
          <t>-</t>
        </is>
      </c>
      <c r="CH9" s="10" t="inlineStr">
        <is>
          <t>-</t>
        </is>
      </c>
      <c r="CI9" s="17" t="n">
        <v>65295.3</v>
      </c>
      <c r="CJ9" s="10" t="n">
        <v>860.8</v>
      </c>
      <c r="CK9" s="10" t="n">
        <v>598</v>
      </c>
      <c r="CL9" s="10" t="inlineStr">
        <is>
          <t>-</t>
        </is>
      </c>
      <c r="CM9" s="10" t="inlineStr">
        <is>
          <t>-</t>
        </is>
      </c>
      <c r="CN9" s="17" t="n">
        <v>116200.7</v>
      </c>
      <c r="CO9" s="17" t="n">
        <v>753.2</v>
      </c>
      <c r="CP9" s="17" t="n">
        <v>630</v>
      </c>
      <c r="CQ9" s="19" t="inlineStr">
        <is>
          <t>-</t>
        </is>
      </c>
      <c r="CR9" s="46" t="inlineStr">
        <is>
          <t>-</t>
        </is>
      </c>
      <c r="CS9" s="17" t="n">
        <v>538038.4</v>
      </c>
      <c r="CT9" s="10" t="n">
        <v>538</v>
      </c>
      <c r="CU9" s="10" t="n">
        <v>649</v>
      </c>
      <c r="CV9" s="10" t="inlineStr">
        <is>
          <t>-</t>
        </is>
      </c>
      <c r="CW9" s="10" t="inlineStr">
        <is>
          <t>-</t>
        </is>
      </c>
      <c r="CX9" s="17" t="n">
        <v>646170.1</v>
      </c>
      <c r="CY9" s="10" t="n">
        <v>322.8</v>
      </c>
      <c r="CZ9" s="10" t="n">
        <v>613.6</v>
      </c>
      <c r="DA9" s="10" t="inlineStr">
        <is>
          <t>-</t>
        </is>
      </c>
      <c r="DB9" s="10" t="inlineStr">
        <is>
          <t>-</t>
        </is>
      </c>
    </row>
    <row r="10">
      <c r="A10" s="16" t="inlineStr">
        <is>
          <t>Garantías y/o avales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  <c r="T10" s="10" t="inlineStr">
        <is>
          <t>-</t>
        </is>
      </c>
      <c r="U10" s="10" t="inlineStr">
        <is>
          <t>-</t>
        </is>
      </c>
      <c r="V10" s="10" t="inlineStr">
        <is>
          <t>-</t>
        </is>
      </c>
      <c r="W10" s="10" t="inlineStr">
        <is>
          <t>-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n">
        <v>6.780516</v>
      </c>
      <c r="AC10" s="10" t="inlineStr">
        <is>
          <t>-</t>
        </is>
      </c>
      <c r="AD10" s="10" t="inlineStr">
        <is>
          <t>-</t>
        </is>
      </c>
      <c r="AE10" s="10" t="n">
        <v>1.464</v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  <c r="AI10" s="10" t="inlineStr">
        <is>
          <t>-</t>
        </is>
      </c>
      <c r="AJ10" s="10" t="inlineStr">
        <is>
          <t>-</t>
        </is>
      </c>
      <c r="AK10" s="10" t="inlineStr">
        <is>
          <t>-</t>
        </is>
      </c>
      <c r="AL10" s="10" t="inlineStr">
        <is>
          <t>-</t>
        </is>
      </c>
      <c r="AM10" s="10" t="inlineStr">
        <is>
          <t>-</t>
        </is>
      </c>
      <c r="AN10" s="10" t="inlineStr">
        <is>
          <t>-</t>
        </is>
      </c>
      <c r="AO10" s="10" t="inlineStr">
        <is>
          <t>-</t>
        </is>
      </c>
      <c r="AP10" s="10" t="inlineStr">
        <is>
          <t>-</t>
        </is>
      </c>
      <c r="AQ10" s="10" t="inlineStr">
        <is>
          <t>-</t>
        </is>
      </c>
      <c r="AR10" s="10" t="inlineStr">
        <is>
          <t>-</t>
        </is>
      </c>
      <c r="AS10" s="10" t="inlineStr">
        <is>
          <t>-</t>
        </is>
      </c>
      <c r="AT10" s="10" t="inlineStr">
        <is>
          <t>-</t>
        </is>
      </c>
      <c r="AU10" s="10" t="inlineStr">
        <is>
          <t>-</t>
        </is>
      </c>
      <c r="AV10" s="10" t="inlineStr">
        <is>
          <t>-</t>
        </is>
      </c>
      <c r="AW10" s="10" t="inlineStr">
        <is>
          <t>-</t>
        </is>
      </c>
      <c r="AX10" s="10" t="inlineStr">
        <is>
          <t>-</t>
        </is>
      </c>
      <c r="AY10" s="10" t="inlineStr">
        <is>
          <t>-</t>
        </is>
      </c>
      <c r="AZ10" s="10" t="inlineStr">
        <is>
          <t>-</t>
        </is>
      </c>
      <c r="BA10" s="10" t="inlineStr">
        <is>
          <t>-</t>
        </is>
      </c>
      <c r="BB10" s="10" t="inlineStr">
        <is>
          <t>-</t>
        </is>
      </c>
      <c r="BC10" s="10" t="inlineStr">
        <is>
          <t>-</t>
        </is>
      </c>
      <c r="BD10" s="10" t="inlineStr">
        <is>
          <t>-</t>
        </is>
      </c>
      <c r="BE10" s="10" t="inlineStr">
        <is>
          <t>-</t>
        </is>
      </c>
      <c r="BF10" s="10" t="inlineStr">
        <is>
          <t>-</t>
        </is>
      </c>
      <c r="BG10" s="10" t="inlineStr">
        <is>
          <t>-</t>
        </is>
      </c>
      <c r="BH10" s="10" t="n">
        <v>1712.5432</v>
      </c>
      <c r="BI10" s="10" t="inlineStr">
        <is>
          <t>-</t>
        </is>
      </c>
      <c r="BJ10" s="10" t="n">
        <v>131.33</v>
      </c>
      <c r="BK10" s="10" t="inlineStr">
        <is>
          <t>-</t>
        </is>
      </c>
      <c r="BL10" s="10" t="n">
        <v>2060.8</v>
      </c>
      <c r="BM10" s="10" t="n">
        <v>129.7</v>
      </c>
      <c r="BN10" s="10" t="inlineStr">
        <is>
          <t>-</t>
        </is>
      </c>
      <c r="BO10" s="10" t="inlineStr">
        <is>
          <t>-</t>
        </is>
      </c>
      <c r="BP10" s="10" t="n">
        <v>3943.685381</v>
      </c>
      <c r="BQ10" s="10" t="inlineStr">
        <is>
          <t>-</t>
        </is>
      </c>
      <c r="BR10" s="10" t="n">
        <v>211.469</v>
      </c>
      <c r="BS10" s="10" t="inlineStr">
        <is>
          <t>-</t>
        </is>
      </c>
      <c r="BT10" s="10" t="n">
        <v>7987.725200000001</v>
      </c>
      <c r="BU10" s="10" t="inlineStr">
        <is>
          <t>-</t>
        </is>
      </c>
      <c r="BV10" s="10" t="n">
        <v>211.876</v>
      </c>
      <c r="BW10" s="10" t="inlineStr">
        <is>
          <t>-</t>
        </is>
      </c>
      <c r="BX10" s="10" t="inlineStr">
        <is>
          <t>-</t>
        </is>
      </c>
      <c r="BY10" s="10" t="n">
        <v>11654.659879</v>
      </c>
      <c r="BZ10" s="10" t="inlineStr">
        <is>
          <t>-</t>
        </is>
      </c>
      <c r="CA10" s="10" t="n">
        <v>194.6011</v>
      </c>
      <c r="CB10" s="10" t="inlineStr">
        <is>
          <t>-</t>
        </is>
      </c>
      <c r="CC10" s="10" t="inlineStr">
        <is>
          <t>-</t>
        </is>
      </c>
      <c r="CD10" s="10" t="n">
        <v>15039.67509</v>
      </c>
      <c r="CE10" s="10" t="inlineStr">
        <is>
          <t>-</t>
        </is>
      </c>
      <c r="CF10" s="10" t="n">
        <v>178.7246</v>
      </c>
      <c r="CG10" s="10" t="inlineStr">
        <is>
          <t>-</t>
        </is>
      </c>
      <c r="CH10" s="10" t="inlineStr">
        <is>
          <t>-</t>
        </is>
      </c>
      <c r="CI10" s="10" t="inlineStr">
        <is>
          <t>-</t>
        </is>
      </c>
      <c r="CJ10" s="10" t="inlineStr">
        <is>
          <t>-</t>
        </is>
      </c>
      <c r="CK10" s="10" t="inlineStr">
        <is>
          <t>-</t>
        </is>
      </c>
      <c r="CL10" s="10" t="inlineStr">
        <is>
          <t>-</t>
        </is>
      </c>
      <c r="CM10" s="10" t="inlineStr">
        <is>
          <t>-</t>
        </is>
      </c>
      <c r="CN10" s="10" t="inlineStr">
        <is>
          <t>-</t>
        </is>
      </c>
      <c r="CO10" s="10" t="inlineStr">
        <is>
          <t>-</t>
        </is>
      </c>
      <c r="CP10" s="10" t="inlineStr">
        <is>
          <t>-</t>
        </is>
      </c>
      <c r="CQ10" s="10" t="inlineStr">
        <is>
          <t>-</t>
        </is>
      </c>
      <c r="CR10" s="10" t="inlineStr">
        <is>
          <t>-</t>
        </is>
      </c>
      <c r="CS10" s="10" t="inlineStr">
        <is>
          <t>-</t>
        </is>
      </c>
      <c r="CT10" s="10" t="inlineStr">
        <is>
          <t>-</t>
        </is>
      </c>
      <c r="CU10" s="10" t="inlineStr">
        <is>
          <t>-</t>
        </is>
      </c>
      <c r="CV10" s="10" t="inlineStr">
        <is>
          <t>-</t>
        </is>
      </c>
      <c r="CW10" s="10" t="inlineStr">
        <is>
          <t>-</t>
        </is>
      </c>
      <c r="CX10" s="10" t="inlineStr">
        <is>
          <t>-</t>
        </is>
      </c>
      <c r="CY10" s="10" t="inlineStr">
        <is>
          <t>-</t>
        </is>
      </c>
      <c r="CZ10" s="10" t="inlineStr">
        <is>
          <t>-</t>
        </is>
      </c>
      <c r="DA10" s="10" t="inlineStr">
        <is>
          <t>-</t>
        </is>
      </c>
      <c r="DB10" s="10" t="inlineStr">
        <is>
          <t>-</t>
        </is>
      </c>
    </row>
    <row r="11">
      <c r="A11" s="45" t="inlineStr">
        <is>
          <t>Acuerdo OSPLAD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 t="inlineStr">
        <is>
          <t>-</t>
        </is>
      </c>
      <c r="V11" s="10" t="inlineStr">
        <is>
          <t>-</t>
        </is>
      </c>
      <c r="W11" s="10" t="inlineStr">
        <is>
          <t>-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  <c r="AI11" s="10" t="inlineStr">
        <is>
          <t>-</t>
        </is>
      </c>
      <c r="AJ11" s="10" t="inlineStr">
        <is>
          <t>-</t>
        </is>
      </c>
      <c r="AK11" s="10" t="inlineStr">
        <is>
          <t>-</t>
        </is>
      </c>
      <c r="AL11" s="10" t="inlineStr">
        <is>
          <t>-</t>
        </is>
      </c>
      <c r="AM11" s="10" t="inlineStr">
        <is>
          <t>-</t>
        </is>
      </c>
      <c r="AN11" s="10" t="inlineStr">
        <is>
          <t>-</t>
        </is>
      </c>
      <c r="AO11" s="10" t="inlineStr">
        <is>
          <t>-</t>
        </is>
      </c>
      <c r="AP11" s="10" t="inlineStr">
        <is>
          <t>-</t>
        </is>
      </c>
      <c r="AQ11" s="10" t="inlineStr">
        <is>
          <t>-</t>
        </is>
      </c>
      <c r="AR11" s="10" t="inlineStr">
        <is>
          <t>-</t>
        </is>
      </c>
      <c r="AS11" s="10" t="inlineStr">
        <is>
          <t>-</t>
        </is>
      </c>
      <c r="AT11" s="10" t="inlineStr">
        <is>
          <t>-</t>
        </is>
      </c>
      <c r="AU11" s="10" t="inlineStr">
        <is>
          <t>-</t>
        </is>
      </c>
      <c r="AV11" s="10" t="n">
        <v>107.2273</v>
      </c>
      <c r="AW11" s="10" t="n">
        <v>107.2273</v>
      </c>
      <c r="AX11" s="10" t="inlineStr">
        <is>
          <t>-</t>
        </is>
      </c>
      <c r="AY11" s="10" t="inlineStr">
        <is>
          <t>-</t>
        </is>
      </c>
      <c r="AZ11" s="10" t="n">
        <v>50.4245</v>
      </c>
      <c r="BA11" s="10" t="n">
        <v>50.4245</v>
      </c>
      <c r="BB11" s="10" t="inlineStr">
        <is>
          <t>-</t>
        </is>
      </c>
      <c r="BC11" s="10" t="inlineStr">
        <is>
          <t>-</t>
        </is>
      </c>
      <c r="BD11" s="10" t="n">
        <v>15.721</v>
      </c>
      <c r="BE11" s="10" t="n">
        <v>15.721</v>
      </c>
      <c r="BF11" s="10" t="inlineStr">
        <is>
          <t>-</t>
        </is>
      </c>
      <c r="BG11" s="10" t="inlineStr">
        <is>
          <t>-</t>
        </is>
      </c>
      <c r="BH11" s="10" t="inlineStr">
        <is>
          <t>-</t>
        </is>
      </c>
      <c r="BI11" s="10" t="inlineStr">
        <is>
          <t>-</t>
        </is>
      </c>
      <c r="BJ11" s="10" t="inlineStr">
        <is>
          <t>-</t>
        </is>
      </c>
      <c r="BK11" s="10" t="inlineStr">
        <is>
          <t>-</t>
        </is>
      </c>
      <c r="BL11" s="10" t="inlineStr">
        <is>
          <t>-</t>
        </is>
      </c>
      <c r="BM11" s="10" t="inlineStr">
        <is>
          <t>-</t>
        </is>
      </c>
      <c r="BN11" s="10" t="inlineStr">
        <is>
          <t>-</t>
        </is>
      </c>
      <c r="BO11" s="10" t="inlineStr">
        <is>
          <t>-</t>
        </is>
      </c>
      <c r="BP11" s="10" t="inlineStr">
        <is>
          <t>-</t>
        </is>
      </c>
      <c r="BQ11" s="10" t="inlineStr">
        <is>
          <t>-</t>
        </is>
      </c>
      <c r="BR11" s="10" t="inlineStr">
        <is>
          <t>-</t>
        </is>
      </c>
      <c r="BS11" s="10" t="inlineStr">
        <is>
          <t>-</t>
        </is>
      </c>
      <c r="BT11" s="10" t="inlineStr">
        <is>
          <t>-</t>
        </is>
      </c>
      <c r="BU11" s="10" t="inlineStr">
        <is>
          <t>-</t>
        </is>
      </c>
      <c r="BV11" s="10" t="inlineStr">
        <is>
          <t>-</t>
        </is>
      </c>
      <c r="BW11" s="10" t="inlineStr">
        <is>
          <t>-</t>
        </is>
      </c>
      <c r="BX11" s="10" t="inlineStr">
        <is>
          <t>-</t>
        </is>
      </c>
      <c r="BY11" s="10" t="inlineStr">
        <is>
          <t>-</t>
        </is>
      </c>
      <c r="BZ11" s="10" t="inlineStr">
        <is>
          <t>-</t>
        </is>
      </c>
      <c r="CA11" s="10" t="inlineStr">
        <is>
          <t>-</t>
        </is>
      </c>
      <c r="CB11" s="10" t="inlineStr">
        <is>
          <t>-</t>
        </is>
      </c>
      <c r="CC11" s="10" t="inlineStr">
        <is>
          <t>-</t>
        </is>
      </c>
      <c r="CD11" s="10" t="inlineStr">
        <is>
          <t>-</t>
        </is>
      </c>
      <c r="CE11" s="10" t="inlineStr">
        <is>
          <t>-</t>
        </is>
      </c>
      <c r="CF11" s="10" t="inlineStr">
        <is>
          <t>-</t>
        </is>
      </c>
      <c r="CG11" s="10" t="inlineStr">
        <is>
          <t>-</t>
        </is>
      </c>
      <c r="CH11" s="10" t="inlineStr">
        <is>
          <t>-</t>
        </is>
      </c>
      <c r="CI11" s="10" t="inlineStr">
        <is>
          <t>-</t>
        </is>
      </c>
      <c r="CJ11" s="10" t="inlineStr">
        <is>
          <t>-</t>
        </is>
      </c>
      <c r="CK11" s="10" t="inlineStr">
        <is>
          <t>-</t>
        </is>
      </c>
      <c r="CL11" s="10" t="inlineStr">
        <is>
          <t>-</t>
        </is>
      </c>
      <c r="CM11" s="10" t="inlineStr">
        <is>
          <t>-</t>
        </is>
      </c>
      <c r="CN11" s="10" t="inlineStr">
        <is>
          <t>-</t>
        </is>
      </c>
      <c r="CO11" s="10" t="inlineStr">
        <is>
          <t>-</t>
        </is>
      </c>
      <c r="CP11" s="10" t="inlineStr">
        <is>
          <t>-</t>
        </is>
      </c>
      <c r="CQ11" s="10" t="inlineStr">
        <is>
          <t>-</t>
        </is>
      </c>
      <c r="CR11" s="10" t="inlineStr">
        <is>
          <t>-</t>
        </is>
      </c>
      <c r="CS11" s="10" t="inlineStr">
        <is>
          <t>-</t>
        </is>
      </c>
      <c r="CT11" s="10" t="inlineStr">
        <is>
          <t>-</t>
        </is>
      </c>
      <c r="CU11" s="10" t="inlineStr">
        <is>
          <t>-</t>
        </is>
      </c>
      <c r="CV11" s="10" t="inlineStr">
        <is>
          <t>-</t>
        </is>
      </c>
      <c r="CW11" s="10" t="inlineStr">
        <is>
          <t>-</t>
        </is>
      </c>
      <c r="CX11" s="10" t="inlineStr">
        <is>
          <t>-</t>
        </is>
      </c>
      <c r="CY11" s="10" t="inlineStr">
        <is>
          <t>-</t>
        </is>
      </c>
      <c r="CZ11" s="10" t="inlineStr">
        <is>
          <t>-</t>
        </is>
      </c>
      <c r="DA11" s="10" t="inlineStr">
        <is>
          <t>-</t>
        </is>
      </c>
      <c r="DB11" s="10" t="inlineStr">
        <is>
          <t>-</t>
        </is>
      </c>
    </row>
    <row r="12">
      <c r="A12" s="1" t="inlineStr">
        <is>
          <t>Préstamo ANSES - Ley 5603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  <c r="T12" s="10" t="inlineStr">
        <is>
          <t>-</t>
        </is>
      </c>
      <c r="U12" s="10" t="inlineStr">
        <is>
          <t>-</t>
        </is>
      </c>
      <c r="V12" s="10" t="inlineStr">
        <is>
          <t>-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  <c r="AI12" s="10" t="inlineStr">
        <is>
          <t>-</t>
        </is>
      </c>
      <c r="AJ12" s="10" t="inlineStr">
        <is>
          <t>-</t>
        </is>
      </c>
      <c r="AK12" s="10" t="inlineStr">
        <is>
          <t>-</t>
        </is>
      </c>
      <c r="AL12" s="10" t="inlineStr">
        <is>
          <t>-</t>
        </is>
      </c>
      <c r="AM12" s="10" t="inlineStr">
        <is>
          <t>-</t>
        </is>
      </c>
      <c r="AN12" s="10" t="inlineStr">
        <is>
          <t>-</t>
        </is>
      </c>
      <c r="AO12" s="10" t="inlineStr">
        <is>
          <t>-</t>
        </is>
      </c>
      <c r="AP12" s="10" t="inlineStr">
        <is>
          <t>-</t>
        </is>
      </c>
      <c r="AQ12" s="10" t="inlineStr">
        <is>
          <t>-</t>
        </is>
      </c>
      <c r="AR12" s="10" t="inlineStr">
        <is>
          <t>-</t>
        </is>
      </c>
      <c r="AS12" s="10" t="inlineStr">
        <is>
          <t>-</t>
        </is>
      </c>
      <c r="AT12" s="10" t="inlineStr">
        <is>
          <t>-</t>
        </is>
      </c>
      <c r="AU12" s="10" t="inlineStr">
        <is>
          <t>-</t>
        </is>
      </c>
      <c r="AV12" s="10" t="inlineStr">
        <is>
          <t>-</t>
        </is>
      </c>
      <c r="AW12" s="10" t="inlineStr">
        <is>
          <t>-</t>
        </is>
      </c>
      <c r="AX12" s="10" t="inlineStr">
        <is>
          <t>-</t>
        </is>
      </c>
      <c r="AY12" s="10" t="inlineStr">
        <is>
          <t>-</t>
        </is>
      </c>
      <c r="AZ12" s="10" t="inlineStr">
        <is>
          <t>-</t>
        </is>
      </c>
      <c r="BA12" s="10" t="inlineStr">
        <is>
          <t>-</t>
        </is>
      </c>
      <c r="BB12" s="10" t="inlineStr">
        <is>
          <t>-</t>
        </is>
      </c>
      <c r="BC12" s="10" t="inlineStr">
        <is>
          <t>-</t>
        </is>
      </c>
      <c r="BD12" s="10" t="inlineStr">
        <is>
          <t>-</t>
        </is>
      </c>
      <c r="BE12" s="10" t="inlineStr">
        <is>
          <t>-</t>
        </is>
      </c>
      <c r="BF12" s="10" t="inlineStr">
        <is>
          <t>-</t>
        </is>
      </c>
      <c r="BG12" s="10" t="inlineStr">
        <is>
          <t>-</t>
        </is>
      </c>
      <c r="BH12" s="10" t="inlineStr">
        <is>
          <t>-</t>
        </is>
      </c>
      <c r="BI12" s="10" t="inlineStr">
        <is>
          <t>-</t>
        </is>
      </c>
      <c r="BJ12" s="10" t="inlineStr">
        <is>
          <t>-</t>
        </is>
      </c>
      <c r="BK12" s="10" t="inlineStr">
        <is>
          <t>-</t>
        </is>
      </c>
      <c r="BL12" s="10" t="n">
        <v>1960.35</v>
      </c>
      <c r="BM12" s="10" t="n">
        <v>1960.35</v>
      </c>
      <c r="BN12" s="10" t="inlineStr">
        <is>
          <t>-</t>
        </is>
      </c>
      <c r="BO12" s="10" t="inlineStr">
        <is>
          <t>-</t>
        </is>
      </c>
      <c r="BP12" s="10" t="n">
        <v>3284.1278</v>
      </c>
      <c r="BQ12" s="10" t="n">
        <v>3284.1278</v>
      </c>
      <c r="BR12" s="10" t="inlineStr">
        <is>
          <t>-</t>
        </is>
      </c>
      <c r="BS12" s="10" t="inlineStr">
        <is>
          <t>-</t>
        </is>
      </c>
      <c r="BT12" s="10" t="n">
        <v>4879.626</v>
      </c>
      <c r="BU12" s="10" t="n">
        <v>4879.626</v>
      </c>
      <c r="BV12" s="10" t="inlineStr">
        <is>
          <t>-</t>
        </is>
      </c>
      <c r="BW12" s="10" t="inlineStr">
        <is>
          <t>-</t>
        </is>
      </c>
      <c r="BX12" s="10" t="inlineStr">
        <is>
          <t>-</t>
        </is>
      </c>
      <c r="BY12" s="10" t="n">
        <v>7766.6479</v>
      </c>
      <c r="BZ12" s="10" t="n">
        <v>7766.6479</v>
      </c>
      <c r="CA12" s="10" t="inlineStr">
        <is>
          <t>-</t>
        </is>
      </c>
      <c r="CB12" s="10" t="inlineStr">
        <is>
          <t>-</t>
        </is>
      </c>
      <c r="CC12" s="10" t="inlineStr">
        <is>
          <t>-</t>
        </is>
      </c>
      <c r="CD12" s="10" t="n">
        <v>7939.8011</v>
      </c>
      <c r="CE12" s="10" t="n">
        <v>7939.8011</v>
      </c>
      <c r="CF12" s="10" t="inlineStr">
        <is>
          <t>-</t>
        </is>
      </c>
      <c r="CG12" s="10" t="inlineStr">
        <is>
          <t>-</t>
        </is>
      </c>
      <c r="CH12" s="24" t="inlineStr">
        <is>
          <t>-</t>
        </is>
      </c>
      <c r="CI12" s="24" t="n">
        <v>7608.2</v>
      </c>
      <c r="CJ12" s="24" t="n">
        <v>7608.2</v>
      </c>
      <c r="CK12" s="24" t="inlineStr">
        <is>
          <t>-</t>
        </is>
      </c>
      <c r="CL12" s="24" t="inlineStr">
        <is>
          <t>-</t>
        </is>
      </c>
      <c r="CM12" s="24" t="inlineStr">
        <is>
          <t>-</t>
        </is>
      </c>
      <c r="CN12" s="24" t="n">
        <v>2733.9</v>
      </c>
      <c r="CO12" s="24" t="n">
        <v>2733.9</v>
      </c>
      <c r="CP12" s="24" t="inlineStr">
        <is>
          <t>-</t>
        </is>
      </c>
      <c r="CQ12" s="24" t="inlineStr">
        <is>
          <t>-</t>
        </is>
      </c>
      <c r="CR12" s="24" t="inlineStr">
        <is>
          <t>-</t>
        </is>
      </c>
      <c r="CS12" s="10" t="inlineStr">
        <is>
          <t>-</t>
        </is>
      </c>
      <c r="CT12" s="10" t="inlineStr">
        <is>
          <t>-</t>
        </is>
      </c>
      <c r="CU12" s="10" t="inlineStr">
        <is>
          <t>-</t>
        </is>
      </c>
      <c r="CV12" s="10" t="inlineStr">
        <is>
          <t>-</t>
        </is>
      </c>
      <c r="CW12" s="10" t="inlineStr">
        <is>
          <t>-</t>
        </is>
      </c>
      <c r="CX12" s="10" t="inlineStr">
        <is>
          <t>-</t>
        </is>
      </c>
      <c r="CY12" s="10" t="inlineStr">
        <is>
          <t>-</t>
        </is>
      </c>
      <c r="CZ12" s="10" t="inlineStr">
        <is>
          <t>-</t>
        </is>
      </c>
      <c r="DA12" s="10" t="inlineStr">
        <is>
          <t>-</t>
        </is>
      </c>
      <c r="DB12" s="10" t="inlineStr">
        <is>
          <t>-</t>
        </is>
      </c>
    </row>
    <row r="14">
      <c r="A14" t="inlineStr">
        <is>
          <t>1 Incluye los montos en moneda extranjera y valores Uva convertidos a pesos, cuyo tipo de cambio al 31 de diciembre de 2024 fue $ 1052,5 para dólares.</t>
        </is>
      </c>
    </row>
    <row r="16">
      <c r="B16" t="n">
        <v>1996</v>
      </c>
      <c r="C16" t="n">
        <v>1997</v>
      </c>
      <c r="D16" t="n">
        <v>1998</v>
      </c>
      <c r="E16" t="n">
        <v>1999</v>
      </c>
      <c r="F16" t="n">
        <v>2000</v>
      </c>
      <c r="G16" t="n">
        <v>2001</v>
      </c>
      <c r="H16" t="n">
        <v>2002</v>
      </c>
      <c r="I16" t="n">
        <v>2002</v>
      </c>
      <c r="J16" t="n">
        <v>2002</v>
      </c>
      <c r="K16" t="n">
        <v>2002</v>
      </c>
      <c r="L16" t="n">
        <v>2003</v>
      </c>
      <c r="M16" t="n">
        <v>2003</v>
      </c>
      <c r="N16" t="n">
        <v>2003</v>
      </c>
      <c r="O16" t="n">
        <v>2003</v>
      </c>
      <c r="P16" t="n">
        <v>2004</v>
      </c>
      <c r="Q16" t="n">
        <v>2004</v>
      </c>
      <c r="R16" t="n">
        <v>2004</v>
      </c>
      <c r="S16" t="n">
        <v>2004</v>
      </c>
      <c r="T16" t="n">
        <v>2005</v>
      </c>
      <c r="U16" t="n">
        <v>2005</v>
      </c>
      <c r="V16" t="n">
        <v>2005</v>
      </c>
      <c r="W16" t="n">
        <v>2005</v>
      </c>
      <c r="X16" t="n">
        <v>2006</v>
      </c>
      <c r="Y16" t="n">
        <v>2006</v>
      </c>
      <c r="Z16" t="n">
        <v>2006</v>
      </c>
      <c r="AA16" t="n">
        <v>2006</v>
      </c>
      <c r="AB16" t="n">
        <v>2007</v>
      </c>
      <c r="AC16" t="n">
        <v>2007</v>
      </c>
      <c r="AD16" t="n">
        <v>2007</v>
      </c>
      <c r="AE16" t="n">
        <v>2007</v>
      </c>
      <c r="AF16" t="n">
        <v>2008</v>
      </c>
      <c r="AG16" t="n">
        <v>2008</v>
      </c>
      <c r="AH16" t="n">
        <v>2008</v>
      </c>
      <c r="AI16" t="n">
        <v>2008</v>
      </c>
      <c r="AJ16" t="n">
        <v>2009</v>
      </c>
      <c r="AK16" t="n">
        <v>2009</v>
      </c>
      <c r="AL16" t="n">
        <v>2009</v>
      </c>
      <c r="AM16" t="n">
        <v>2009</v>
      </c>
      <c r="AN16" t="n">
        <v>2010</v>
      </c>
      <c r="AO16" t="n">
        <v>2010</v>
      </c>
      <c r="AP16" t="n">
        <v>2010</v>
      </c>
      <c r="AQ16" t="n">
        <v>2010</v>
      </c>
      <c r="AR16" t="n">
        <v>2011</v>
      </c>
      <c r="AS16" t="n">
        <v>2011</v>
      </c>
      <c r="AT16" t="n">
        <v>2011</v>
      </c>
      <c r="AU16" t="n">
        <v>2011</v>
      </c>
      <c r="AV16" t="n">
        <v>2012</v>
      </c>
      <c r="AW16" t="n">
        <v>2012</v>
      </c>
      <c r="AX16" t="n">
        <v>2012</v>
      </c>
      <c r="AY16" t="n">
        <v>2012</v>
      </c>
      <c r="AZ16" t="n">
        <v>2013</v>
      </c>
      <c r="BA16" t="n">
        <v>2013</v>
      </c>
      <c r="BB16" t="n">
        <v>2013</v>
      </c>
      <c r="BC16" t="n">
        <v>2013</v>
      </c>
      <c r="BD16" t="n">
        <v>2014</v>
      </c>
      <c r="BE16" t="n">
        <v>2014</v>
      </c>
      <c r="BF16" t="n">
        <v>2014</v>
      </c>
      <c r="BG16" t="n">
        <v>2014</v>
      </c>
      <c r="BH16" t="n">
        <v>2015</v>
      </c>
      <c r="BI16" t="n">
        <v>2015</v>
      </c>
      <c r="BJ16" t="n">
        <v>2015</v>
      </c>
      <c r="BK16" t="n">
        <v>2015</v>
      </c>
      <c r="BL16" t="n">
        <v>2016</v>
      </c>
      <c r="BM16" t="n">
        <v>2016</v>
      </c>
      <c r="BN16" t="n">
        <v>2016</v>
      </c>
      <c r="BO16" t="n">
        <v>2016</v>
      </c>
      <c r="BP16" t="n">
        <v>2017</v>
      </c>
      <c r="BQ16" t="n">
        <v>2017</v>
      </c>
      <c r="BR16" t="n">
        <v>2017</v>
      </c>
      <c r="BS16" t="n">
        <v>2017</v>
      </c>
      <c r="BT16" t="n">
        <v>2018</v>
      </c>
      <c r="BU16" t="n">
        <v>2018</v>
      </c>
      <c r="BV16" t="n">
        <v>2018</v>
      </c>
      <c r="BW16" t="n">
        <v>2018</v>
      </c>
      <c r="BX16" t="n">
        <v>2018</v>
      </c>
      <c r="BY16" t="n">
        <v>2019</v>
      </c>
      <c r="BZ16" t="n">
        <v>2019</v>
      </c>
      <c r="CA16" t="n">
        <v>2019</v>
      </c>
      <c r="CB16" t="n">
        <v>2019</v>
      </c>
      <c r="CC16" t="n">
        <v>2019</v>
      </c>
      <c r="CD16" t="n">
        <v>2020</v>
      </c>
      <c r="CE16" t="n">
        <v>2020</v>
      </c>
      <c r="CF16" t="n">
        <v>2020</v>
      </c>
      <c r="CG16" t="n">
        <v>2020</v>
      </c>
      <c r="CH16" t="n">
        <v>2020</v>
      </c>
      <c r="CI16" t="n">
        <v>2021</v>
      </c>
      <c r="CJ16" t="n">
        <v>2021</v>
      </c>
      <c r="CK16" t="n">
        <v>2021</v>
      </c>
      <c r="CL16" t="n">
        <v>2021</v>
      </c>
      <c r="CM16" t="n">
        <v>2021</v>
      </c>
      <c r="CN16" t="n">
        <v>2022</v>
      </c>
      <c r="CO16" t="n">
        <v>2022</v>
      </c>
      <c r="CP16" t="n">
        <v>2022</v>
      </c>
      <c r="CQ16" t="n">
        <v>2022</v>
      </c>
      <c r="CR16" t="n">
        <v>2022</v>
      </c>
      <c r="CS16" t="n">
        <v>2023</v>
      </c>
      <c r="CT16" t="n">
        <v>2023</v>
      </c>
      <c r="CU16" t="n">
        <v>2023</v>
      </c>
      <c r="CV16" t="n">
        <v>2023</v>
      </c>
      <c r="CW16" t="n">
        <v>2023</v>
      </c>
      <c r="CX16" t="n">
        <v>2024</v>
      </c>
      <c r="CY16" t="n">
        <v>2024</v>
      </c>
      <c r="CZ16" t="n">
        <v>2024</v>
      </c>
      <c r="DA16" t="n">
        <v>2024</v>
      </c>
      <c r="DB16" t="n">
        <v>2024</v>
      </c>
    </row>
    <row r="17">
      <c r="B17" t="inlineStr">
        <is>
          <t>Total en ARS</t>
        </is>
      </c>
      <c r="C17" t="inlineStr">
        <is>
          <t>Total en ARS</t>
        </is>
      </c>
      <c r="D17" t="inlineStr">
        <is>
          <t>Total en ARS</t>
        </is>
      </c>
      <c r="E17" t="inlineStr">
        <is>
          <t>Total en ARS</t>
        </is>
      </c>
      <c r="F17" t="inlineStr">
        <is>
          <t>Total en ARS</t>
        </is>
      </c>
      <c r="G17" t="inlineStr">
        <is>
          <t>Total en ARS</t>
        </is>
      </c>
      <c r="H17">
        <f>IF(MID(H2,1,5)="Total","Total en ARS",MID(H2,13,LEN(H2)-12))</f>
        <v/>
      </c>
      <c r="I17">
        <f>IF(MID(I2,1,5)="Total","Total en ARS",MID(I2,13,LEN(I2)-12))</f>
        <v/>
      </c>
      <c r="J17">
        <f>IF(MID(J2,1,5)="Total","Total en ARS",MID(J2,13,LEN(J2)-12))</f>
        <v/>
      </c>
      <c r="K17">
        <f>IF(MID(K2,1,5)="Total","Total en ARS",MID(K2,13,LEN(K2)-12))</f>
        <v/>
      </c>
      <c r="L17">
        <f>IF(MID(L2,1,5)="Total","Total en ARS",MID(L2,13,LEN(L2)-12))</f>
        <v/>
      </c>
      <c r="M17">
        <f>IF(MID(M2,1,5)="Total","Total en ARS",MID(M2,13,LEN(M2)-12))</f>
        <v/>
      </c>
      <c r="N17">
        <f>IF(MID(N2,1,5)="Total","Total en ARS",MID(N2,13,LEN(N2)-12))</f>
        <v/>
      </c>
      <c r="O17">
        <f>IF(MID(O2,1,5)="Total","Total en ARS",MID(O2,13,LEN(O2)-12))</f>
        <v/>
      </c>
      <c r="P17">
        <f>IF(MID(P2,1,5)="Total","Total en ARS",MID(P2,13,LEN(P2)-12))</f>
        <v/>
      </c>
      <c r="Q17">
        <f>IF(MID(Q2,1,5)="Total","Total en ARS",MID(Q2,13,LEN(Q2)-12))</f>
        <v/>
      </c>
      <c r="R17">
        <f>IF(MID(R2,1,5)="Total","Total en ARS",MID(R2,13,LEN(R2)-12))</f>
        <v/>
      </c>
      <c r="S17">
        <f>IF(MID(S2,1,5)="Total","Total en ARS",MID(S2,13,LEN(S2)-12))</f>
        <v/>
      </c>
      <c r="T17">
        <f>IF(MID(T2,1,5)="Total","Total en ARS",MID(T2,13,LEN(T2)-12))</f>
        <v/>
      </c>
      <c r="U17">
        <f>IF(MID(U2,1,5)="Total","Total en ARS",MID(U2,13,LEN(U2)-12))</f>
        <v/>
      </c>
      <c r="V17">
        <f>IF(MID(V2,1,5)="Total","Total en ARS",MID(V2,13,LEN(V2)-12))</f>
        <v/>
      </c>
      <c r="W17">
        <f>IF(MID(W2,1,5)="Total","Total en ARS",MID(W2,13,LEN(W2)-12))</f>
        <v/>
      </c>
      <c r="X17">
        <f>IF(MID(X2,1,5)="Total","Total en ARS",MID(X2,13,LEN(X2)-12))</f>
        <v/>
      </c>
      <c r="Y17">
        <f>IF(MID(Y2,1,5)="Total","Total en ARS",MID(Y2,13,LEN(Y2)-12))</f>
        <v/>
      </c>
      <c r="Z17">
        <f>IF(MID(Z2,1,5)="Total","Total en ARS",MID(Z2,13,LEN(Z2)-12))</f>
        <v/>
      </c>
      <c r="AA17">
        <f>IF(MID(AA2,1,5)="Total","Total en ARS",MID(AA2,13,LEN(AA2)-12))</f>
        <v/>
      </c>
      <c r="AB17">
        <f>IF(MID(AB2,1,5)="Total","Total en ARS",MID(AB2,13,LEN(AB2)-12))</f>
        <v/>
      </c>
      <c r="AC17">
        <f>IF(MID(AC2,1,5)="Total","Total en ARS",MID(AC2,13,LEN(AC2)-12))</f>
        <v/>
      </c>
      <c r="AD17">
        <f>IF(MID(AD2,1,5)="Total","Total en ARS",MID(AD2,13,LEN(AD2)-12))</f>
        <v/>
      </c>
      <c r="AE17">
        <f>IF(MID(AE2,1,5)="Total","Total en ARS",MID(AE2,13,LEN(AE2)-12))</f>
        <v/>
      </c>
      <c r="AF17">
        <f>IF(MID(AF2,1,5)="Total","Total en ARS",MID(AF2,13,LEN(AF2)-12))</f>
        <v/>
      </c>
      <c r="AG17">
        <f>IF(MID(AG2,1,5)="Total","Total en ARS",MID(AG2,13,LEN(AG2)-12))</f>
        <v/>
      </c>
      <c r="AH17">
        <f>IF(MID(AH2,1,5)="Total","Total en ARS",MID(AH2,13,LEN(AH2)-12))</f>
        <v/>
      </c>
      <c r="AI17">
        <f>IF(MID(AI2,1,5)="Total","Total en ARS",MID(AI2,13,LEN(AI2)-12))</f>
        <v/>
      </c>
      <c r="AJ17">
        <f>IF(MID(AJ2,1,5)="Total","Total en ARS",MID(AJ2,13,LEN(AJ2)-12))</f>
        <v/>
      </c>
      <c r="AK17">
        <f>IF(MID(AK2,1,5)="Total","Total en ARS",MID(AK2,13,LEN(AK2)-12))</f>
        <v/>
      </c>
      <c r="AL17">
        <f>IF(MID(AL2,1,5)="Total","Total en ARS",MID(AL2,13,LEN(AL2)-12))</f>
        <v/>
      </c>
      <c r="AM17">
        <f>IF(MID(AM2,1,5)="Total","Total en ARS",MID(AM2,13,LEN(AM2)-12))</f>
        <v/>
      </c>
      <c r="AN17">
        <f>IF(MID(AN2,1,5)="Total","Total en ARS",MID(AN2,13,LEN(AN2)-12))</f>
        <v/>
      </c>
      <c r="AO17">
        <f>IF(MID(AO2,1,5)="Total","Total en ARS",MID(AO2,13,LEN(AO2)-12))</f>
        <v/>
      </c>
      <c r="AP17">
        <f>IF(MID(AP2,1,5)="Total","Total en ARS",MID(AP2,13,LEN(AP2)-12))</f>
        <v/>
      </c>
      <c r="AQ17">
        <f>IF(MID(AQ2,1,5)="Total","Total en ARS",MID(AQ2,13,LEN(AQ2)-12))</f>
        <v/>
      </c>
      <c r="AR17">
        <f>IF(MID(AR2,1,5)="Total","Total en ARS",MID(AR2,13,LEN(AR2)-12))</f>
        <v/>
      </c>
      <c r="AS17">
        <f>IF(MID(AS2,1,5)="Total","Total en ARS",MID(AS2,13,LEN(AS2)-12))</f>
        <v/>
      </c>
      <c r="AT17">
        <f>IF(MID(AT2,1,5)="Total","Total en ARS",MID(AT2,13,LEN(AT2)-12))</f>
        <v/>
      </c>
      <c r="AU17">
        <f>IF(MID(AU2,1,5)="Total","Total en ARS",MID(AU2,13,LEN(AU2)-12))</f>
        <v/>
      </c>
      <c r="AV17">
        <f>IF(MID(AV2,1,5)="Total","Total en ARS",MID(AV2,13,LEN(AV2)-12))</f>
        <v/>
      </c>
      <c r="AW17">
        <f>IF(MID(AW2,1,5)="Total","Total en ARS",MID(AW2,13,LEN(AW2)-12))</f>
        <v/>
      </c>
      <c r="AX17">
        <f>IF(MID(AX2,1,5)="Total","Total en ARS",MID(AX2,13,LEN(AX2)-12))</f>
        <v/>
      </c>
      <c r="AY17">
        <f>IF(MID(AY2,1,5)="Total","Total en ARS",MID(AY2,13,LEN(AY2)-12))</f>
        <v/>
      </c>
      <c r="AZ17">
        <f>IF(MID(AZ2,1,5)="Total","Total en ARS",MID(AZ2,13,LEN(AZ2)-12))</f>
        <v/>
      </c>
      <c r="BA17">
        <f>IF(MID(BA2,1,5)="Total","Total en ARS",MID(BA2,13,LEN(BA2)-12))</f>
        <v/>
      </c>
      <c r="BB17">
        <f>IF(MID(BB2,1,5)="Total","Total en ARS",MID(BB2,13,LEN(BB2)-12))</f>
        <v/>
      </c>
      <c r="BC17">
        <f>IF(MID(BC2,1,5)="Total","Total en ARS",MID(BC2,13,LEN(BC2)-12))</f>
        <v/>
      </c>
      <c r="BD17">
        <f>IF(MID(BD2,1,5)="Total","Total en ARS",MID(BD2,13,LEN(BD2)-12))</f>
        <v/>
      </c>
      <c r="BE17">
        <f>IF(MID(BE2,1,5)="Total","Total en ARS",MID(BE2,13,LEN(BE2)-12))</f>
        <v/>
      </c>
      <c r="BF17">
        <f>IF(MID(BF2,1,5)="Total","Total en ARS",MID(BF2,13,LEN(BF2)-12))</f>
        <v/>
      </c>
      <c r="BG17">
        <f>IF(MID(BG2,1,5)="Total","Total en ARS",MID(BG2,13,LEN(BG2)-12))</f>
        <v/>
      </c>
      <c r="BH17">
        <f>IF(MID(BH2,1,5)="Total","Total en ARS",MID(BH2,13,LEN(BH2)-12))</f>
        <v/>
      </c>
      <c r="BI17">
        <f>IF(MID(BI2,1,5)="Total","Total en ARS",MID(BI2,13,LEN(BI2)-12))</f>
        <v/>
      </c>
      <c r="BJ17">
        <f>IF(MID(BJ2,1,5)="Total","Total en ARS",MID(BJ2,13,LEN(BJ2)-12))</f>
        <v/>
      </c>
      <c r="BK17">
        <f>IF(MID(BK2,1,5)="Total","Total en ARS",MID(BK2,13,LEN(BK2)-12))</f>
        <v/>
      </c>
      <c r="BL17">
        <f>IF(MID(BL2,1,5)="Total","Total en ARS",MID(BL2,13,LEN(BL2)-12))</f>
        <v/>
      </c>
      <c r="BM17">
        <f>IF(MID(BM2,1,5)="Total","Total en ARS",MID(BM2,13,LEN(BM2)-12))</f>
        <v/>
      </c>
      <c r="BN17">
        <f>IF(MID(BN2,1,5)="Total","Total en ARS",MID(BN2,13,LEN(BN2)-12))</f>
        <v/>
      </c>
      <c r="BO17">
        <f>IF(MID(BO2,1,5)="Total","Total en ARS",MID(BO2,13,LEN(BO2)-12))</f>
        <v/>
      </c>
      <c r="BP17">
        <f>IF(MID(BP2,1,5)="Total","Total en ARS",MID(BP2,13,LEN(BP2)-12))</f>
        <v/>
      </c>
      <c r="BQ17">
        <f>IF(MID(BQ2,1,5)="Total","Total en ARS",MID(BQ2,13,LEN(BQ2)-12))</f>
        <v/>
      </c>
      <c r="BR17">
        <f>IF(MID(BR2,1,5)="Total","Total en ARS",MID(BR2,13,LEN(BR2)-12))</f>
        <v/>
      </c>
      <c r="BS17">
        <f>IF(MID(BS2,1,5)="Total","Total en ARS",MID(BS2,13,LEN(BS2)-12))</f>
        <v/>
      </c>
      <c r="BT17">
        <f>IF(MID(BT2,1,5)="Total","Total en ARS",MID(BT2,13,LEN(BT2)-12))</f>
        <v/>
      </c>
      <c r="BU17">
        <f>IF(MID(BU2,1,5)="Total","Total en ARS",MID(BU2,13,LEN(BU2)-12))</f>
        <v/>
      </c>
      <c r="BV17">
        <f>IF(MID(BV2,1,5)="Total","Total en ARS",MID(BV2,13,LEN(BV2)-12))</f>
        <v/>
      </c>
      <c r="BW17">
        <f>IF(MID(BW2,1,5)="Total","Total en ARS",MID(BW2,13,LEN(BW2)-12))</f>
        <v/>
      </c>
      <c r="BX17" t="inlineStr">
        <is>
          <t>UVAs</t>
        </is>
      </c>
      <c r="BY17">
        <f>IF(MID(BY2,1,5)="Total","Total en ARS",MID(BY2,13,LEN(BY2)-12))</f>
        <v/>
      </c>
      <c r="BZ17">
        <f>IF(MID(BZ2,1,5)="Total","Total en ARS",MID(BZ2,13,LEN(BZ2)-12))</f>
        <v/>
      </c>
      <c r="CA17">
        <f>IF(MID(CA2,1,5)="Total","Total en ARS",MID(CA2,13,LEN(CA2)-12))</f>
        <v/>
      </c>
      <c r="CB17">
        <f>IF(MID(CB2,1,5)="Total","Total en ARS",MID(CB2,13,LEN(CB2)-12))</f>
        <v/>
      </c>
      <c r="CC17" t="inlineStr">
        <is>
          <t>UVAs</t>
        </is>
      </c>
      <c r="CD17">
        <f>IF(MID(CD2,1,5)="Total","Total en ARS",MID(CD2,13,LEN(CD2)-12))</f>
        <v/>
      </c>
      <c r="CE17">
        <f>IF(MID(CE2,1,5)="Total","Total en ARS",MID(CE2,13,LEN(CE2)-12))</f>
        <v/>
      </c>
      <c r="CF17">
        <f>IF(MID(CF2,1,5)="Total","Total en ARS",MID(CF2,13,LEN(CF2)-12))</f>
        <v/>
      </c>
      <c r="CG17">
        <f>IF(MID(CG2,1,5)="Total","Total en ARS",MID(CG2,13,LEN(CG2)-12))</f>
        <v/>
      </c>
      <c r="CH17" t="inlineStr">
        <is>
          <t>UVAs</t>
        </is>
      </c>
      <c r="CI17">
        <f>IF(MID(CI2,1,5)="Total","Total en ARS",MID(CI2,13,LEN(CI2)-12))</f>
        <v/>
      </c>
      <c r="CJ17">
        <f>IF(MID(CJ2,1,5)="Total","Total en ARS",MID(CJ2,13,LEN(CJ2)-12))</f>
        <v/>
      </c>
      <c r="CK17">
        <f>IF(MID(CK2,1,5)="Total","Total en ARS",MID(CK2,13,LEN(CK2)-12))</f>
        <v/>
      </c>
      <c r="CL17">
        <f>IF(MID(CL2,1,5)="Total","Total en ARS",MID(CL2,13,LEN(CL2)-12))</f>
        <v/>
      </c>
      <c r="CM17" t="inlineStr">
        <is>
          <t>UVAs</t>
        </is>
      </c>
      <c r="CN17">
        <f>IF(MID(CN2,1,5)="Total","Total en ARS",MID(CN2,13,LEN(CN2)-12))</f>
        <v/>
      </c>
      <c r="CO17">
        <f>IF(MID(CO2,1,5)="Total","Total en ARS",MID(CO2,13,LEN(CO2)-12))</f>
        <v/>
      </c>
      <c r="CP17">
        <f>IF(MID(CP2,1,5)="Total","Total en ARS",MID(CP2,13,LEN(CP2)-12))</f>
        <v/>
      </c>
      <c r="CQ17">
        <f>IF(MID(CQ2,1,5)="Total","Total en ARS",MID(CQ2,13,LEN(CQ2)-12))</f>
        <v/>
      </c>
      <c r="CR17" t="inlineStr">
        <is>
          <t>UVAs</t>
        </is>
      </c>
      <c r="CS17">
        <f>IF(MID(CS2,1,5)="Total","Total en ARS",MID(CS2,13,LEN(CS2)-12))</f>
        <v/>
      </c>
      <c r="CT17">
        <f>IF(MID(CT2,1,5)="Total","Total en ARS",MID(CT2,13,LEN(CT2)-12))</f>
        <v/>
      </c>
      <c r="CU17">
        <f>IF(MID(CU2,1,5)="Total","Total en ARS",MID(CU2,13,LEN(CU2)-12))</f>
        <v/>
      </c>
      <c r="CV17">
        <f>IF(MID(CV2,1,5)="Total","Total en ARS",MID(CV2,13,LEN(CV2)-12))</f>
        <v/>
      </c>
      <c r="CW17" t="inlineStr">
        <is>
          <t>UVAs</t>
        </is>
      </c>
      <c r="CX17">
        <f>IF(MID(CX2,1,5)="Total","Total en ARS",MID(CX2,13,LEN(CX2)-12))</f>
        <v/>
      </c>
      <c r="CY17">
        <f>IF(MID(CY2,1,5)="Total","Total en ARS",MID(CY2,13,LEN(CY2)-12))</f>
        <v/>
      </c>
      <c r="CZ17">
        <f>IF(MID(CZ2,1,5)="Total","Total en ARS",MID(CZ2,13,LEN(CZ2)-12))</f>
        <v/>
      </c>
      <c r="DA17">
        <f>IF(MID(DA2,1,5)="Total","Total en ARS",MID(DA2,13,LEN(DA2)-12))</f>
        <v/>
      </c>
      <c r="DB17" t="inlineStr">
        <is>
          <t>UVAs</t>
        </is>
      </c>
    </row>
    <row r="18">
      <c r="A18" s="16" t="inlineStr">
        <is>
          <t>Proveedores y Contratistas</t>
        </is>
      </c>
      <c r="B18" s="35">
        <f>B3</f>
        <v/>
      </c>
      <c r="C18" s="35">
        <f>C3</f>
        <v/>
      </c>
      <c r="D18" s="35">
        <f>D3</f>
        <v/>
      </c>
      <c r="E18" s="35">
        <f>E3</f>
        <v/>
      </c>
      <c r="F18" s="35">
        <f>F3</f>
        <v/>
      </c>
      <c r="G18" s="35">
        <f>G3</f>
        <v/>
      </c>
      <c r="H18" s="35">
        <f>H3</f>
        <v/>
      </c>
      <c r="I18" s="35">
        <f>I3</f>
        <v/>
      </c>
      <c r="J18" s="35">
        <f>J3</f>
        <v/>
      </c>
      <c r="K18" s="35">
        <f>K3</f>
        <v/>
      </c>
      <c r="L18" s="35">
        <f>L3</f>
        <v/>
      </c>
      <c r="M18" s="35">
        <f>M3</f>
        <v/>
      </c>
      <c r="N18" s="35">
        <f>N3</f>
        <v/>
      </c>
      <c r="O18" s="35">
        <f>O3</f>
        <v/>
      </c>
      <c r="P18" s="35">
        <f>P3</f>
        <v/>
      </c>
      <c r="Q18" s="35">
        <f>Q3</f>
        <v/>
      </c>
      <c r="R18" s="35">
        <f>R3</f>
        <v/>
      </c>
      <c r="S18" s="35">
        <f>S3</f>
        <v/>
      </c>
      <c r="T18" s="35">
        <f>T3</f>
        <v/>
      </c>
      <c r="U18" s="35">
        <f>U3</f>
        <v/>
      </c>
      <c r="V18" s="35">
        <f>V3</f>
        <v/>
      </c>
      <c r="W18" s="35">
        <f>W3</f>
        <v/>
      </c>
      <c r="X18" s="35">
        <f>X3</f>
        <v/>
      </c>
      <c r="Y18" s="35">
        <f>Y3</f>
        <v/>
      </c>
      <c r="Z18" s="35">
        <f>Z3</f>
        <v/>
      </c>
      <c r="AA18" s="35">
        <f>AA3</f>
        <v/>
      </c>
      <c r="AB18" s="35">
        <f>AB3</f>
        <v/>
      </c>
      <c r="AC18" s="35">
        <f>AC3</f>
        <v/>
      </c>
      <c r="AD18" s="35">
        <f>AD3</f>
        <v/>
      </c>
      <c r="AE18" s="35">
        <f>AE3</f>
        <v/>
      </c>
      <c r="AF18" s="35">
        <f>AF3</f>
        <v/>
      </c>
      <c r="AG18" s="35">
        <f>AG3</f>
        <v/>
      </c>
      <c r="AH18" s="35">
        <f>AH3</f>
        <v/>
      </c>
      <c r="AI18" s="35">
        <f>AI3</f>
        <v/>
      </c>
      <c r="AJ18" s="35">
        <f>AJ3</f>
        <v/>
      </c>
      <c r="AK18" s="35">
        <f>AK3</f>
        <v/>
      </c>
      <c r="AL18" s="35">
        <f>AL3</f>
        <v/>
      </c>
      <c r="AM18" s="35">
        <f>AM3</f>
        <v/>
      </c>
      <c r="AN18" s="35">
        <f>AN3</f>
        <v/>
      </c>
      <c r="AO18" s="35">
        <f>AO3</f>
        <v/>
      </c>
      <c r="AP18" s="35">
        <f>AP3</f>
        <v/>
      </c>
      <c r="AQ18" s="35">
        <f>AQ3</f>
        <v/>
      </c>
      <c r="AR18" s="35">
        <f>AR3</f>
        <v/>
      </c>
      <c r="AS18" s="35">
        <f>AS3</f>
        <v/>
      </c>
      <c r="AT18" s="35">
        <f>AT3</f>
        <v/>
      </c>
      <c r="AU18" s="35">
        <f>AU3</f>
        <v/>
      </c>
      <c r="AV18" s="35">
        <f>AV3</f>
        <v/>
      </c>
      <c r="AW18" s="35">
        <f>AW3</f>
        <v/>
      </c>
      <c r="AX18" s="35">
        <f>AX3</f>
        <v/>
      </c>
      <c r="AY18" s="35">
        <f>AY3</f>
        <v/>
      </c>
      <c r="AZ18" s="35">
        <f>AZ3</f>
        <v/>
      </c>
      <c r="BA18" s="35">
        <f>BA3</f>
        <v/>
      </c>
      <c r="BB18" s="35">
        <f>BB3</f>
        <v/>
      </c>
      <c r="BC18" s="35">
        <f>BC3</f>
        <v/>
      </c>
      <c r="BD18" s="35">
        <f>BD3</f>
        <v/>
      </c>
      <c r="BE18" s="35">
        <f>BE3</f>
        <v/>
      </c>
      <c r="BF18" s="35">
        <f>BF3</f>
        <v/>
      </c>
      <c r="BG18" s="35">
        <f>BG3</f>
        <v/>
      </c>
      <c r="BH18" s="35">
        <f>BH3</f>
        <v/>
      </c>
      <c r="BI18" s="35">
        <f>BI3</f>
        <v/>
      </c>
      <c r="BJ18" s="35">
        <f>BJ3</f>
        <v/>
      </c>
      <c r="BK18" s="35">
        <f>BK3</f>
        <v/>
      </c>
      <c r="BL18" s="35">
        <f>BL3</f>
        <v/>
      </c>
      <c r="BM18" s="35">
        <f>BM3</f>
        <v/>
      </c>
      <c r="BN18" s="35">
        <f>BN3</f>
        <v/>
      </c>
      <c r="BO18" s="35">
        <f>BO3</f>
        <v/>
      </c>
      <c r="BP18" s="35">
        <f>BP3</f>
        <v/>
      </c>
      <c r="BQ18" s="35">
        <f>BQ3</f>
        <v/>
      </c>
      <c r="BR18" s="35">
        <f>BR3</f>
        <v/>
      </c>
      <c r="BS18" s="35">
        <f>BS3</f>
        <v/>
      </c>
      <c r="BT18" s="35">
        <f>BT3</f>
        <v/>
      </c>
      <c r="BU18" s="35">
        <f>BU3</f>
        <v/>
      </c>
      <c r="BV18" s="35">
        <f>BV3</f>
        <v/>
      </c>
      <c r="BW18" s="35">
        <f>BW3</f>
        <v/>
      </c>
      <c r="BX18" s="35">
        <f>BX3</f>
        <v/>
      </c>
      <c r="BY18" s="35">
        <f>BY3</f>
        <v/>
      </c>
      <c r="BZ18" s="35">
        <f>BZ3</f>
        <v/>
      </c>
      <c r="CA18" s="35">
        <f>CA3</f>
        <v/>
      </c>
      <c r="CB18" s="35">
        <f>CB3</f>
        <v/>
      </c>
      <c r="CC18" s="35">
        <f>CC3</f>
        <v/>
      </c>
      <c r="CD18" s="35">
        <f>CD3</f>
        <v/>
      </c>
      <c r="CE18" s="35">
        <f>CE3</f>
        <v/>
      </c>
      <c r="CF18" s="35">
        <f>CF3</f>
        <v/>
      </c>
      <c r="CG18" s="35">
        <f>CG3</f>
        <v/>
      </c>
      <c r="CH18" s="35">
        <f>CH3</f>
        <v/>
      </c>
      <c r="CI18" s="35">
        <f>CI3</f>
        <v/>
      </c>
      <c r="CJ18" s="35">
        <f>CJ3</f>
        <v/>
      </c>
      <c r="CK18" s="35">
        <f>CK3</f>
        <v/>
      </c>
      <c r="CL18" s="35">
        <f>CL3</f>
        <v/>
      </c>
      <c r="CM18" s="35">
        <f>CM3</f>
        <v/>
      </c>
      <c r="CN18" s="35">
        <f>CN3</f>
        <v/>
      </c>
      <c r="CO18" s="35">
        <f>CO3</f>
        <v/>
      </c>
      <c r="CP18" s="35">
        <f>CP3</f>
        <v/>
      </c>
      <c r="CQ18" s="35">
        <f>CQ3</f>
        <v/>
      </c>
      <c r="CR18" s="35">
        <f>CR3</f>
        <v/>
      </c>
      <c r="CS18" s="35">
        <f>CS3</f>
        <v/>
      </c>
      <c r="CT18" s="35">
        <f>CT3</f>
        <v/>
      </c>
      <c r="CU18" s="35">
        <f>CU3</f>
        <v/>
      </c>
      <c r="CV18" s="35">
        <f>CV3</f>
        <v/>
      </c>
      <c r="CW18" s="35">
        <f>CW3</f>
        <v/>
      </c>
      <c r="CX18" s="35">
        <f>CX3</f>
        <v/>
      </c>
      <c r="CY18" s="35">
        <f>CY3</f>
        <v/>
      </c>
      <c r="CZ18" s="35">
        <f>CZ3</f>
        <v/>
      </c>
      <c r="DA18" s="35">
        <f>DA3</f>
        <v/>
      </c>
      <c r="DB18" s="35">
        <f>DB3</f>
        <v/>
      </c>
    </row>
    <row r="19">
      <c r="A19" s="16" t="inlineStr">
        <is>
          <t>Deuda previsional</t>
        </is>
      </c>
      <c r="B19" s="35">
        <f>B4</f>
        <v/>
      </c>
      <c r="C19" s="35">
        <f>C4</f>
        <v/>
      </c>
      <c r="D19" s="35">
        <f>D4</f>
        <v/>
      </c>
      <c r="E19" s="35">
        <f>E4</f>
        <v/>
      </c>
      <c r="F19" s="35">
        <f>F4</f>
        <v/>
      </c>
      <c r="G19" s="35">
        <f>G4</f>
        <v/>
      </c>
      <c r="H19" s="35">
        <f>H4</f>
        <v/>
      </c>
      <c r="I19" s="35">
        <f>I4</f>
        <v/>
      </c>
      <c r="J19" s="35">
        <f>J4</f>
        <v/>
      </c>
      <c r="K19" s="35">
        <f>K4</f>
        <v/>
      </c>
      <c r="L19" s="35">
        <f>L4</f>
        <v/>
      </c>
      <c r="M19" s="35">
        <f>M4</f>
        <v/>
      </c>
      <c r="N19" s="35">
        <f>N4</f>
        <v/>
      </c>
      <c r="O19" s="35">
        <f>O4</f>
        <v/>
      </c>
      <c r="P19" s="35">
        <f>P4</f>
        <v/>
      </c>
      <c r="Q19" s="35">
        <f>Q4</f>
        <v/>
      </c>
      <c r="R19" s="35">
        <f>R4</f>
        <v/>
      </c>
      <c r="S19" s="35">
        <f>S4</f>
        <v/>
      </c>
      <c r="T19" s="35">
        <f>T4</f>
        <v/>
      </c>
      <c r="U19" s="35">
        <f>U4</f>
        <v/>
      </c>
      <c r="V19" s="35">
        <f>V4</f>
        <v/>
      </c>
      <c r="W19" s="35">
        <f>W4</f>
        <v/>
      </c>
      <c r="X19" s="35">
        <f>X4</f>
        <v/>
      </c>
      <c r="Y19" s="35">
        <f>Y4</f>
        <v/>
      </c>
      <c r="Z19" s="35">
        <f>Z4</f>
        <v/>
      </c>
      <c r="AA19" s="35">
        <f>AA4</f>
        <v/>
      </c>
      <c r="AB19" s="35">
        <f>AB4</f>
        <v/>
      </c>
      <c r="AC19" s="35">
        <f>AC4</f>
        <v/>
      </c>
      <c r="AD19" s="35">
        <f>AD4</f>
        <v/>
      </c>
      <c r="AE19" s="35">
        <f>AE4</f>
        <v/>
      </c>
      <c r="AF19" s="35">
        <f>AF4</f>
        <v/>
      </c>
      <c r="AG19" s="35">
        <f>AG4</f>
        <v/>
      </c>
      <c r="AH19" s="35">
        <f>AH4</f>
        <v/>
      </c>
      <c r="AI19" s="35">
        <f>AI4</f>
        <v/>
      </c>
      <c r="AJ19" s="35">
        <f>AJ4</f>
        <v/>
      </c>
      <c r="AK19" s="35">
        <f>AK4</f>
        <v/>
      </c>
      <c r="AL19" s="35">
        <f>AL4</f>
        <v/>
      </c>
      <c r="AM19" s="35">
        <f>AM4</f>
        <v/>
      </c>
      <c r="AN19" s="35">
        <f>AN4</f>
        <v/>
      </c>
      <c r="AO19" s="35">
        <f>AO4</f>
        <v/>
      </c>
      <c r="AP19" s="35">
        <f>AP4</f>
        <v/>
      </c>
      <c r="AQ19" s="35">
        <f>AQ4</f>
        <v/>
      </c>
      <c r="AR19" s="35">
        <f>AR4</f>
        <v/>
      </c>
      <c r="AS19" s="35">
        <f>AS4</f>
        <v/>
      </c>
      <c r="AT19" s="35">
        <f>AT4</f>
        <v/>
      </c>
      <c r="AU19" s="35">
        <f>AU4</f>
        <v/>
      </c>
      <c r="AV19" s="35">
        <f>AV4</f>
        <v/>
      </c>
      <c r="AW19" s="35">
        <f>AW4</f>
        <v/>
      </c>
      <c r="AX19" s="35">
        <f>AX4</f>
        <v/>
      </c>
      <c r="AY19" s="35">
        <f>AY4</f>
        <v/>
      </c>
      <c r="AZ19" s="35">
        <f>AZ4</f>
        <v/>
      </c>
      <c r="BA19" s="35">
        <f>BA4</f>
        <v/>
      </c>
      <c r="BB19" s="35">
        <f>BB4</f>
        <v/>
      </c>
      <c r="BC19" s="35">
        <f>BC4</f>
        <v/>
      </c>
      <c r="BD19" s="35">
        <f>BD4</f>
        <v/>
      </c>
      <c r="BE19" s="35">
        <f>BE4</f>
        <v/>
      </c>
      <c r="BF19" s="35">
        <f>BF4</f>
        <v/>
      </c>
      <c r="BG19" s="35">
        <f>BG4</f>
        <v/>
      </c>
      <c r="BH19" s="35">
        <f>BH4</f>
        <v/>
      </c>
      <c r="BI19" s="35">
        <f>BI4</f>
        <v/>
      </c>
      <c r="BJ19" s="35">
        <f>BJ4</f>
        <v/>
      </c>
      <c r="BK19" s="35">
        <f>BK4</f>
        <v/>
      </c>
      <c r="BL19" s="35">
        <f>BL4</f>
        <v/>
      </c>
      <c r="BM19" s="35">
        <f>BM4</f>
        <v/>
      </c>
      <c r="BN19" s="35">
        <f>BN4</f>
        <v/>
      </c>
      <c r="BO19" s="35">
        <f>BO4</f>
        <v/>
      </c>
      <c r="BP19" s="35">
        <f>BP4</f>
        <v/>
      </c>
      <c r="BQ19" s="35">
        <f>BQ4</f>
        <v/>
      </c>
      <c r="BR19" s="35">
        <f>BR4</f>
        <v/>
      </c>
      <c r="BS19" s="35">
        <f>BS4</f>
        <v/>
      </c>
      <c r="BT19" s="35">
        <f>BT4</f>
        <v/>
      </c>
      <c r="BU19" s="35">
        <f>BU4</f>
        <v/>
      </c>
      <c r="BV19" s="35">
        <f>BV4</f>
        <v/>
      </c>
      <c r="BW19" s="35">
        <f>BW4</f>
        <v/>
      </c>
      <c r="BX19" s="35">
        <f>BX4</f>
        <v/>
      </c>
      <c r="BY19" s="35">
        <f>BY4</f>
        <v/>
      </c>
      <c r="BZ19" s="35">
        <f>BZ4</f>
        <v/>
      </c>
      <c r="CA19" s="35">
        <f>CA4</f>
        <v/>
      </c>
      <c r="CB19" s="35">
        <f>CB4</f>
        <v/>
      </c>
      <c r="CC19" s="35">
        <f>CC4</f>
        <v/>
      </c>
      <c r="CD19" s="35">
        <f>CD4</f>
        <v/>
      </c>
      <c r="CE19" s="35">
        <f>CE4</f>
        <v/>
      </c>
      <c r="CF19" s="35">
        <f>CF4</f>
        <v/>
      </c>
      <c r="CG19" s="35">
        <f>CG4</f>
        <v/>
      </c>
      <c r="CH19" s="35">
        <f>CH4</f>
        <v/>
      </c>
      <c r="CI19" s="35">
        <f>CI4</f>
        <v/>
      </c>
      <c r="CJ19" s="35">
        <f>CJ4</f>
        <v/>
      </c>
      <c r="CK19" s="35">
        <f>CK4</f>
        <v/>
      </c>
      <c r="CL19" s="35">
        <f>CL4</f>
        <v/>
      </c>
      <c r="CM19" s="35">
        <f>CM4</f>
        <v/>
      </c>
      <c r="CN19" s="35">
        <f>CN4</f>
        <v/>
      </c>
      <c r="CO19" s="35">
        <f>CO4</f>
        <v/>
      </c>
      <c r="CP19" s="35">
        <f>CP4</f>
        <v/>
      </c>
      <c r="CQ19" s="35">
        <f>CQ4</f>
        <v/>
      </c>
      <c r="CR19" s="35">
        <f>CR4</f>
        <v/>
      </c>
      <c r="CS19" s="35">
        <f>CS4</f>
        <v/>
      </c>
      <c r="CT19" s="35">
        <f>CT4</f>
        <v/>
      </c>
      <c r="CU19" s="35">
        <f>CU4</f>
        <v/>
      </c>
      <c r="CV19" s="35">
        <f>CV4</f>
        <v/>
      </c>
      <c r="CW19" s="35">
        <f>CW4</f>
        <v/>
      </c>
      <c r="CX19" s="35">
        <f>CX4</f>
        <v/>
      </c>
      <c r="CY19" s="35">
        <f>CY4</f>
        <v/>
      </c>
      <c r="CZ19" s="35">
        <f>CZ4</f>
        <v/>
      </c>
      <c r="DA19" s="35">
        <f>DA4</f>
        <v/>
      </c>
      <c r="DB19" s="35">
        <f>DB4</f>
        <v/>
      </c>
    </row>
    <row r="20">
      <c r="A20" s="16" t="inlineStr">
        <is>
          <t>Títulos públicos</t>
        </is>
      </c>
      <c r="B20" s="35">
        <f>B5</f>
        <v/>
      </c>
      <c r="C20" s="35">
        <f>C5</f>
        <v/>
      </c>
      <c r="D20" s="35">
        <f>D5</f>
        <v/>
      </c>
      <c r="E20" s="35">
        <f>E5</f>
        <v/>
      </c>
      <c r="F20" s="35">
        <f>F5</f>
        <v/>
      </c>
      <c r="G20" s="35">
        <f>G5</f>
        <v/>
      </c>
      <c r="H20" s="35">
        <f>H5</f>
        <v/>
      </c>
      <c r="I20" s="35">
        <f>I5</f>
        <v/>
      </c>
      <c r="J20" s="35">
        <f>J5</f>
        <v/>
      </c>
      <c r="K20" s="35">
        <f>K5</f>
        <v/>
      </c>
      <c r="L20" s="35">
        <f>L5</f>
        <v/>
      </c>
      <c r="M20" s="35">
        <f>M5</f>
        <v/>
      </c>
      <c r="N20" s="35">
        <f>N5</f>
        <v/>
      </c>
      <c r="O20" s="35">
        <f>O5</f>
        <v/>
      </c>
      <c r="P20" s="35">
        <f>P5</f>
        <v/>
      </c>
      <c r="Q20" s="35">
        <f>Q5</f>
        <v/>
      </c>
      <c r="R20" s="35">
        <f>R5</f>
        <v/>
      </c>
      <c r="S20" s="35">
        <f>S5</f>
        <v/>
      </c>
      <c r="T20" s="35">
        <f>T5</f>
        <v/>
      </c>
      <c r="U20" s="35">
        <f>U5</f>
        <v/>
      </c>
      <c r="V20" s="35">
        <f>V5</f>
        <v/>
      </c>
      <c r="W20" s="35">
        <f>W5</f>
        <v/>
      </c>
      <c r="X20" s="35">
        <f>X5</f>
        <v/>
      </c>
      <c r="Y20" s="35">
        <f>Y5</f>
        <v/>
      </c>
      <c r="Z20" s="35">
        <f>Z5</f>
        <v/>
      </c>
      <c r="AA20" s="35">
        <f>AA5</f>
        <v/>
      </c>
      <c r="AB20" s="35">
        <f>AB5</f>
        <v/>
      </c>
      <c r="AC20" s="35">
        <f>AC5</f>
        <v/>
      </c>
      <c r="AD20" s="35">
        <f>AD5</f>
        <v/>
      </c>
      <c r="AE20" s="35">
        <f>AE5</f>
        <v/>
      </c>
      <c r="AF20" s="35">
        <f>AF5</f>
        <v/>
      </c>
      <c r="AG20" s="35">
        <f>AG5</f>
        <v/>
      </c>
      <c r="AH20" s="35">
        <f>AH5</f>
        <v/>
      </c>
      <c r="AI20" s="35">
        <f>AI5</f>
        <v/>
      </c>
      <c r="AJ20" s="35">
        <f>AJ5</f>
        <v/>
      </c>
      <c r="AK20" s="35">
        <f>AK5</f>
        <v/>
      </c>
      <c r="AL20" s="35">
        <f>AL5</f>
        <v/>
      </c>
      <c r="AM20" s="35">
        <f>AM5</f>
        <v/>
      </c>
      <c r="AN20" s="35">
        <f>AN5</f>
        <v/>
      </c>
      <c r="AO20" s="35">
        <f>AO5</f>
        <v/>
      </c>
      <c r="AP20" s="35">
        <f>AP5</f>
        <v/>
      </c>
      <c r="AQ20" s="35">
        <f>AQ5</f>
        <v/>
      </c>
      <c r="AR20" s="35">
        <f>AR5</f>
        <v/>
      </c>
      <c r="AS20" s="35">
        <f>AS5</f>
        <v/>
      </c>
      <c r="AT20" s="35">
        <f>AT5</f>
        <v/>
      </c>
      <c r="AU20" s="35">
        <f>AU5</f>
        <v/>
      </c>
      <c r="AV20" s="35">
        <f>AV5</f>
        <v/>
      </c>
      <c r="AW20" s="35">
        <f>AW5</f>
        <v/>
      </c>
      <c r="AX20" s="35">
        <f>AX5</f>
        <v/>
      </c>
      <c r="AY20" s="35">
        <f>AY5</f>
        <v/>
      </c>
      <c r="AZ20" s="35">
        <f>AZ5</f>
        <v/>
      </c>
      <c r="BA20" s="35">
        <f>BA5</f>
        <v/>
      </c>
      <c r="BB20" s="35">
        <f>BB5</f>
        <v/>
      </c>
      <c r="BC20" s="35">
        <f>BC5</f>
        <v/>
      </c>
      <c r="BD20" s="35">
        <f>BD5</f>
        <v/>
      </c>
      <c r="BE20" s="35">
        <f>BE5</f>
        <v/>
      </c>
      <c r="BF20" s="35">
        <f>BF5</f>
        <v/>
      </c>
      <c r="BG20" s="35">
        <f>BG5</f>
        <v/>
      </c>
      <c r="BH20" s="35">
        <f>BH5</f>
        <v/>
      </c>
      <c r="BI20" s="35">
        <f>BI5</f>
        <v/>
      </c>
      <c r="BJ20" s="35">
        <f>BJ5</f>
        <v/>
      </c>
      <c r="BK20" s="35">
        <f>BK5</f>
        <v/>
      </c>
      <c r="BL20" s="35">
        <f>BL5</f>
        <v/>
      </c>
      <c r="BM20" s="35">
        <f>BM5</f>
        <v/>
      </c>
      <c r="BN20" s="35">
        <f>BN5</f>
        <v/>
      </c>
      <c r="BO20" s="35">
        <f>BO5</f>
        <v/>
      </c>
      <c r="BP20" s="35">
        <f>BP5</f>
        <v/>
      </c>
      <c r="BQ20" s="35">
        <f>BQ5</f>
        <v/>
      </c>
      <c r="BR20" s="35">
        <f>BR5</f>
        <v/>
      </c>
      <c r="BS20" s="35">
        <f>BS5</f>
        <v/>
      </c>
      <c r="BT20" s="35">
        <f>BT5</f>
        <v/>
      </c>
      <c r="BU20" s="35">
        <f>BU5</f>
        <v/>
      </c>
      <c r="BV20" s="35">
        <f>BV5</f>
        <v/>
      </c>
      <c r="BW20" s="35">
        <f>BW5</f>
        <v/>
      </c>
      <c r="BX20" s="35">
        <f>BX5</f>
        <v/>
      </c>
      <c r="BY20" s="35">
        <f>BY5</f>
        <v/>
      </c>
      <c r="BZ20" s="35">
        <f>BZ5</f>
        <v/>
      </c>
      <c r="CA20" s="35">
        <f>CA5</f>
        <v/>
      </c>
      <c r="CB20" s="35">
        <f>CB5</f>
        <v/>
      </c>
      <c r="CC20" s="35">
        <f>CC5</f>
        <v/>
      </c>
      <c r="CD20" s="35">
        <f>CD5</f>
        <v/>
      </c>
      <c r="CE20" s="35">
        <f>CE5</f>
        <v/>
      </c>
      <c r="CF20" s="35">
        <f>CF5</f>
        <v/>
      </c>
      <c r="CG20" s="35">
        <f>CG5</f>
        <v/>
      </c>
      <c r="CH20" s="35">
        <f>CH5</f>
        <v/>
      </c>
      <c r="CI20" s="35">
        <f>CI5</f>
        <v/>
      </c>
      <c r="CJ20" s="35">
        <f>CJ5</f>
        <v/>
      </c>
      <c r="CK20" s="35">
        <f>CK5</f>
        <v/>
      </c>
      <c r="CL20" s="35">
        <f>CL5</f>
        <v/>
      </c>
      <c r="CM20" s="35">
        <f>CM5</f>
        <v/>
      </c>
      <c r="CN20" s="35">
        <f>CN5</f>
        <v/>
      </c>
      <c r="CO20" s="35">
        <f>CO5</f>
        <v/>
      </c>
      <c r="CP20" s="35">
        <f>CP5</f>
        <v/>
      </c>
      <c r="CQ20" s="35">
        <f>CQ5</f>
        <v/>
      </c>
      <c r="CR20" s="35">
        <f>CR5</f>
        <v/>
      </c>
      <c r="CS20" s="35">
        <f>CS5</f>
        <v/>
      </c>
      <c r="CT20" s="35">
        <f>CT5</f>
        <v/>
      </c>
      <c r="CU20" s="35">
        <f>CU5</f>
        <v/>
      </c>
      <c r="CV20" s="35">
        <f>CV5</f>
        <v/>
      </c>
      <c r="CW20" s="35">
        <f>CW5</f>
        <v/>
      </c>
      <c r="CX20" s="35">
        <f>CX5</f>
        <v/>
      </c>
      <c r="CY20" s="35">
        <f>CY5</f>
        <v/>
      </c>
      <c r="CZ20" s="35">
        <f>CZ5</f>
        <v/>
      </c>
      <c r="DA20" s="35">
        <f>DA5</f>
        <v/>
      </c>
      <c r="DB20" s="35">
        <f>DB5</f>
        <v/>
      </c>
    </row>
    <row r="21">
      <c r="A21" s="45" t="inlineStr">
        <is>
          <t>Letras del Tesoro Ley 3395 art. 2</t>
        </is>
      </c>
      <c r="B21" s="35">
        <f>B7</f>
        <v/>
      </c>
      <c r="C21" s="35">
        <f>C7</f>
        <v/>
      </c>
      <c r="D21" s="35">
        <f>D7</f>
        <v/>
      </c>
      <c r="E21" s="35">
        <f>E7</f>
        <v/>
      </c>
      <c r="F21" s="35">
        <f>F7</f>
        <v/>
      </c>
      <c r="G21" s="35">
        <f>G7</f>
        <v/>
      </c>
      <c r="H21" s="35">
        <f>H7</f>
        <v/>
      </c>
      <c r="I21" s="35">
        <f>I7</f>
        <v/>
      </c>
      <c r="J21" s="35">
        <f>J7</f>
        <v/>
      </c>
      <c r="K21" s="35">
        <f>K7</f>
        <v/>
      </c>
      <c r="L21" s="35">
        <f>L7</f>
        <v/>
      </c>
      <c r="M21" s="35">
        <f>M7</f>
        <v/>
      </c>
      <c r="N21" s="35">
        <f>N7</f>
        <v/>
      </c>
      <c r="O21" s="35">
        <f>O7</f>
        <v/>
      </c>
      <c r="P21" s="35">
        <f>P7</f>
        <v/>
      </c>
      <c r="Q21" s="35">
        <f>Q7</f>
        <v/>
      </c>
      <c r="R21" s="35">
        <f>R7</f>
        <v/>
      </c>
      <c r="S21" s="35">
        <f>S7</f>
        <v/>
      </c>
      <c r="T21" s="35">
        <f>T7</f>
        <v/>
      </c>
      <c r="U21" s="35">
        <f>U7</f>
        <v/>
      </c>
      <c r="V21" s="35">
        <f>V7</f>
        <v/>
      </c>
      <c r="W21" s="35">
        <f>W7</f>
        <v/>
      </c>
      <c r="X21" s="35">
        <f>X7</f>
        <v/>
      </c>
      <c r="Y21" s="35">
        <f>Y7</f>
        <v/>
      </c>
      <c r="Z21" s="35">
        <f>Z7</f>
        <v/>
      </c>
      <c r="AA21" s="35">
        <f>AA7</f>
        <v/>
      </c>
      <c r="AB21" s="35">
        <f>AB7</f>
        <v/>
      </c>
      <c r="AC21" s="35">
        <f>AC7</f>
        <v/>
      </c>
      <c r="AD21" s="35">
        <f>AD7</f>
        <v/>
      </c>
      <c r="AE21" s="35">
        <f>AE7</f>
        <v/>
      </c>
      <c r="AF21" s="35">
        <f>AF7</f>
        <v/>
      </c>
      <c r="AG21" s="35">
        <f>AG7</f>
        <v/>
      </c>
      <c r="AH21" s="35">
        <f>AH7</f>
        <v/>
      </c>
      <c r="AI21" s="35">
        <f>AI7</f>
        <v/>
      </c>
      <c r="AJ21" s="35">
        <f>AJ7</f>
        <v/>
      </c>
      <c r="AK21" s="35">
        <f>AK7</f>
        <v/>
      </c>
      <c r="AL21" s="35">
        <f>AL7</f>
        <v/>
      </c>
      <c r="AM21" s="35">
        <f>AM7</f>
        <v/>
      </c>
      <c r="AN21" s="35">
        <f>AN7</f>
        <v/>
      </c>
      <c r="AO21" s="35">
        <f>AO7</f>
        <v/>
      </c>
      <c r="AP21" s="35">
        <f>AP7</f>
        <v/>
      </c>
      <c r="AQ21" s="35">
        <f>AQ7</f>
        <v/>
      </c>
      <c r="AR21" s="35">
        <f>AR7</f>
        <v/>
      </c>
      <c r="AS21" s="35">
        <f>AS7</f>
        <v/>
      </c>
      <c r="AT21" s="35">
        <f>AT7</f>
        <v/>
      </c>
      <c r="AU21" s="35">
        <f>AU7</f>
        <v/>
      </c>
      <c r="AV21" s="35">
        <f>AV7</f>
        <v/>
      </c>
      <c r="AW21" s="35">
        <f>AW7</f>
        <v/>
      </c>
      <c r="AX21" s="35">
        <f>AX7</f>
        <v/>
      </c>
      <c r="AY21" s="35">
        <f>AY7</f>
        <v/>
      </c>
      <c r="AZ21" s="35">
        <f>AZ7</f>
        <v/>
      </c>
      <c r="BA21" s="35">
        <f>BA7</f>
        <v/>
      </c>
      <c r="BB21" s="35">
        <f>BB7</f>
        <v/>
      </c>
      <c r="BC21" s="35">
        <f>BC7</f>
        <v/>
      </c>
      <c r="BD21" s="35">
        <f>BD7</f>
        <v/>
      </c>
      <c r="BE21" s="35">
        <f>BE7</f>
        <v/>
      </c>
      <c r="BF21" s="35">
        <f>BF7</f>
        <v/>
      </c>
      <c r="BG21" s="35">
        <f>BG7</f>
        <v/>
      </c>
      <c r="BH21" s="35">
        <f>BH7</f>
        <v/>
      </c>
      <c r="BI21" s="35">
        <f>BI7</f>
        <v/>
      </c>
      <c r="BJ21" s="35">
        <f>BJ7</f>
        <v/>
      </c>
      <c r="BK21" s="35">
        <f>BK7</f>
        <v/>
      </c>
      <c r="BL21" s="35">
        <f>BL7</f>
        <v/>
      </c>
      <c r="BM21" s="35">
        <f>BM7</f>
        <v/>
      </c>
      <c r="BN21" s="35">
        <f>BN7</f>
        <v/>
      </c>
      <c r="BO21" s="35">
        <f>BO7</f>
        <v/>
      </c>
      <c r="BP21" s="35">
        <f>BP7</f>
        <v/>
      </c>
      <c r="BQ21" s="35">
        <f>BQ7</f>
        <v/>
      </c>
      <c r="BR21" s="35">
        <f>BR7</f>
        <v/>
      </c>
      <c r="BS21" s="35">
        <f>BS7</f>
        <v/>
      </c>
      <c r="BT21" s="35">
        <f>BT7</f>
        <v/>
      </c>
      <c r="BU21" s="35">
        <f>BU7</f>
        <v/>
      </c>
      <c r="BV21" s="35">
        <f>BV7</f>
        <v/>
      </c>
      <c r="BW21" s="35">
        <f>BW7</f>
        <v/>
      </c>
      <c r="BX21" s="35">
        <f>BX7</f>
        <v/>
      </c>
      <c r="BY21" s="35">
        <f>BY7</f>
        <v/>
      </c>
      <c r="BZ21" s="35">
        <f>BZ7</f>
        <v/>
      </c>
      <c r="CA21" s="35">
        <f>CA7</f>
        <v/>
      </c>
      <c r="CB21" s="35">
        <f>CB7</f>
        <v/>
      </c>
      <c r="CC21" s="35">
        <f>CC7</f>
        <v/>
      </c>
      <c r="CD21" s="35">
        <f>CD7</f>
        <v/>
      </c>
      <c r="CE21" s="35">
        <f>CE7</f>
        <v/>
      </c>
      <c r="CF21" s="35">
        <f>CF7</f>
        <v/>
      </c>
      <c r="CG21" s="35">
        <f>CG7</f>
        <v/>
      </c>
      <c r="CH21" s="35">
        <f>CH7</f>
        <v/>
      </c>
      <c r="CI21" s="35">
        <f>CI7</f>
        <v/>
      </c>
      <c r="CJ21" s="35">
        <f>CJ7</f>
        <v/>
      </c>
      <c r="CK21" s="35">
        <f>CK7</f>
        <v/>
      </c>
      <c r="CL21" s="35">
        <f>CL7</f>
        <v/>
      </c>
      <c r="CM21" s="35">
        <f>CM7</f>
        <v/>
      </c>
      <c r="CN21" s="35">
        <f>CN7</f>
        <v/>
      </c>
      <c r="CO21" s="35">
        <f>CO7</f>
        <v/>
      </c>
      <c r="CP21" s="35">
        <f>CP7</f>
        <v/>
      </c>
      <c r="CQ21" s="35">
        <f>CQ7</f>
        <v/>
      </c>
      <c r="CR21" s="35">
        <f>CR7</f>
        <v/>
      </c>
      <c r="CS21" s="35">
        <f>CS7</f>
        <v/>
      </c>
      <c r="CT21" s="35">
        <f>CT7</f>
        <v/>
      </c>
      <c r="CU21" s="35">
        <f>CU7</f>
        <v/>
      </c>
      <c r="CV21" s="35">
        <f>CV7</f>
        <v/>
      </c>
      <c r="CW21" s="35">
        <f>CW7</f>
        <v/>
      </c>
      <c r="CX21" s="35">
        <f>CX7</f>
        <v/>
      </c>
      <c r="CY21" s="35">
        <f>CY7</f>
        <v/>
      </c>
      <c r="CZ21" s="35">
        <f>CZ7</f>
        <v/>
      </c>
      <c r="DA21" s="35">
        <f>DA7</f>
        <v/>
      </c>
      <c r="DB21" s="35">
        <f>DB7</f>
        <v/>
      </c>
    </row>
    <row r="22">
      <c r="A22" s="16" t="inlineStr">
        <is>
          <t xml:space="preserve">Deuda financiera </t>
        </is>
      </c>
      <c r="B22" s="35">
        <f>B8</f>
        <v/>
      </c>
      <c r="C22" s="35">
        <f>C8</f>
        <v/>
      </c>
      <c r="D22" s="35">
        <f>D8</f>
        <v/>
      </c>
      <c r="E22" s="35">
        <f>E8</f>
        <v/>
      </c>
      <c r="F22" s="35">
        <f>F8</f>
        <v/>
      </c>
      <c r="G22" s="35">
        <f>G8</f>
        <v/>
      </c>
      <c r="H22" s="35">
        <f>H8</f>
        <v/>
      </c>
      <c r="I22" s="35">
        <f>I8</f>
        <v/>
      </c>
      <c r="J22" s="35">
        <f>J8</f>
        <v/>
      </c>
      <c r="K22" s="35">
        <f>K8</f>
        <v/>
      </c>
      <c r="L22" s="35">
        <f>L8</f>
        <v/>
      </c>
      <c r="M22" s="35">
        <f>M8</f>
        <v/>
      </c>
      <c r="N22" s="35">
        <f>N8</f>
        <v/>
      </c>
      <c r="O22" s="35">
        <f>O8</f>
        <v/>
      </c>
      <c r="P22" s="35">
        <f>P8</f>
        <v/>
      </c>
      <c r="Q22" s="35">
        <f>Q8</f>
        <v/>
      </c>
      <c r="R22" s="35">
        <f>R8</f>
        <v/>
      </c>
      <c r="S22" s="35">
        <f>S8</f>
        <v/>
      </c>
      <c r="T22" s="35">
        <f>T8</f>
        <v/>
      </c>
      <c r="U22" s="35">
        <f>U8</f>
        <v/>
      </c>
      <c r="V22" s="35">
        <f>V8</f>
        <v/>
      </c>
      <c r="W22" s="35">
        <f>W8</f>
        <v/>
      </c>
      <c r="X22" s="35">
        <f>X8</f>
        <v/>
      </c>
      <c r="Y22" s="35">
        <f>Y8</f>
        <v/>
      </c>
      <c r="Z22" s="35">
        <f>Z8</f>
        <v/>
      </c>
      <c r="AA22" s="35">
        <f>AA8</f>
        <v/>
      </c>
      <c r="AB22" s="35">
        <f>AB8</f>
        <v/>
      </c>
      <c r="AC22" s="35">
        <f>AC8</f>
        <v/>
      </c>
      <c r="AD22" s="35">
        <f>AD8</f>
        <v/>
      </c>
      <c r="AE22" s="35">
        <f>AE8</f>
        <v/>
      </c>
      <c r="AF22" s="35">
        <f>AF8</f>
        <v/>
      </c>
      <c r="AG22" s="35">
        <f>AG8</f>
        <v/>
      </c>
      <c r="AH22" s="35">
        <f>AH8</f>
        <v/>
      </c>
      <c r="AI22" s="35">
        <f>AI8</f>
        <v/>
      </c>
      <c r="AJ22" s="35">
        <f>AJ8</f>
        <v/>
      </c>
      <c r="AK22" s="35">
        <f>AK8</f>
        <v/>
      </c>
      <c r="AL22" s="35">
        <f>AL8</f>
        <v/>
      </c>
      <c r="AM22" s="35">
        <f>AM8</f>
        <v/>
      </c>
      <c r="AN22" s="35">
        <f>AN8</f>
        <v/>
      </c>
      <c r="AO22" s="35">
        <f>AO8</f>
        <v/>
      </c>
      <c r="AP22" s="35">
        <f>AP8</f>
        <v/>
      </c>
      <c r="AQ22" s="35">
        <f>AQ8</f>
        <v/>
      </c>
      <c r="AR22" s="35">
        <f>AR8</f>
        <v/>
      </c>
      <c r="AS22" s="35">
        <f>AS8</f>
        <v/>
      </c>
      <c r="AT22" s="35">
        <f>AT8</f>
        <v/>
      </c>
      <c r="AU22" s="35">
        <f>AU8</f>
        <v/>
      </c>
      <c r="AV22" s="35">
        <f>AV8</f>
        <v/>
      </c>
      <c r="AW22" s="35">
        <f>AW8</f>
        <v/>
      </c>
      <c r="AX22" s="35">
        <f>AX8</f>
        <v/>
      </c>
      <c r="AY22" s="35">
        <f>AY8</f>
        <v/>
      </c>
      <c r="AZ22" s="35">
        <f>AZ8</f>
        <v/>
      </c>
      <c r="BA22" s="35">
        <f>BA8</f>
        <v/>
      </c>
      <c r="BB22" s="35">
        <f>BB8</f>
        <v/>
      </c>
      <c r="BC22" s="35">
        <f>BC8</f>
        <v/>
      </c>
      <c r="BD22" s="35">
        <f>BD8</f>
        <v/>
      </c>
      <c r="BE22" s="35">
        <f>BE8</f>
        <v/>
      </c>
      <c r="BF22" s="35">
        <f>BF8</f>
        <v/>
      </c>
      <c r="BG22" s="35">
        <f>BG8</f>
        <v/>
      </c>
      <c r="BH22" s="35">
        <f>BH8</f>
        <v/>
      </c>
      <c r="BI22" s="35">
        <f>BI8</f>
        <v/>
      </c>
      <c r="BJ22" s="35">
        <f>BJ8</f>
        <v/>
      </c>
      <c r="BK22" s="35">
        <f>BK8</f>
        <v/>
      </c>
      <c r="BL22" s="35">
        <f>BL8</f>
        <v/>
      </c>
      <c r="BM22" s="35">
        <f>BM8</f>
        <v/>
      </c>
      <c r="BN22" s="35">
        <f>BN8</f>
        <v/>
      </c>
      <c r="BO22" s="35">
        <f>BO8</f>
        <v/>
      </c>
      <c r="BP22" s="35">
        <f>BP8</f>
        <v/>
      </c>
      <c r="BQ22" s="35">
        <f>BQ8</f>
        <v/>
      </c>
      <c r="BR22" s="35">
        <f>BR8</f>
        <v/>
      </c>
      <c r="BS22" s="35">
        <f>BS8</f>
        <v/>
      </c>
      <c r="BT22" s="35">
        <f>BT8</f>
        <v/>
      </c>
      <c r="BU22" s="35">
        <f>BU8</f>
        <v/>
      </c>
      <c r="BV22" s="35">
        <f>BV8</f>
        <v/>
      </c>
      <c r="BW22" s="35">
        <f>BW8</f>
        <v/>
      </c>
      <c r="BX22" s="35">
        <f>BX8</f>
        <v/>
      </c>
      <c r="BY22" s="35">
        <f>BY8</f>
        <v/>
      </c>
      <c r="BZ22" s="35">
        <f>BZ8</f>
        <v/>
      </c>
      <c r="CA22" s="35">
        <f>CA8</f>
        <v/>
      </c>
      <c r="CB22" s="35">
        <f>CB8</f>
        <v/>
      </c>
      <c r="CC22" s="35">
        <f>CC8</f>
        <v/>
      </c>
      <c r="CD22" s="35">
        <f>CD8</f>
        <v/>
      </c>
      <c r="CE22" s="35">
        <f>CE8</f>
        <v/>
      </c>
      <c r="CF22" s="35">
        <f>CF8</f>
        <v/>
      </c>
      <c r="CG22" s="35">
        <f>CG8</f>
        <v/>
      </c>
      <c r="CH22" s="35">
        <f>CH8</f>
        <v/>
      </c>
      <c r="CI22" s="35">
        <f>CI8</f>
        <v/>
      </c>
      <c r="CJ22" s="35">
        <f>CJ8</f>
        <v/>
      </c>
      <c r="CK22" s="35">
        <f>CK8</f>
        <v/>
      </c>
      <c r="CL22" s="35">
        <f>CL8</f>
        <v/>
      </c>
      <c r="CM22" s="35">
        <f>CM8</f>
        <v/>
      </c>
      <c r="CN22" s="35">
        <f>CN8</f>
        <v/>
      </c>
      <c r="CO22" s="35">
        <f>CO8</f>
        <v/>
      </c>
      <c r="CP22" s="35">
        <f>CP8</f>
        <v/>
      </c>
      <c r="CQ22" s="35">
        <f>CQ8</f>
        <v/>
      </c>
      <c r="CR22" s="35">
        <f>CR8</f>
        <v/>
      </c>
      <c r="CS22" s="35">
        <f>CS8</f>
        <v/>
      </c>
      <c r="CT22" s="35">
        <f>CT8</f>
        <v/>
      </c>
      <c r="CU22" s="35">
        <f>CU8</f>
        <v/>
      </c>
      <c r="CV22" s="35">
        <f>CV8</f>
        <v/>
      </c>
      <c r="CW22" s="35">
        <f>CW8</f>
        <v/>
      </c>
      <c r="CX22" s="35">
        <f>CX8</f>
        <v/>
      </c>
      <c r="CY22" s="35">
        <f>CY8</f>
        <v/>
      </c>
      <c r="CZ22" s="35">
        <f>CZ8</f>
        <v/>
      </c>
      <c r="DA22" s="35">
        <f>DA8</f>
        <v/>
      </c>
      <c r="DB22" s="35">
        <f>DB8</f>
        <v/>
      </c>
    </row>
    <row r="23">
      <c r="A23" s="16" t="inlineStr">
        <is>
          <t>Organismos internacionales de crédito</t>
        </is>
      </c>
      <c r="B23" s="35">
        <f>B9</f>
        <v/>
      </c>
      <c r="C23" s="35">
        <f>C9</f>
        <v/>
      </c>
      <c r="D23" s="35">
        <f>D9</f>
        <v/>
      </c>
      <c r="E23" s="35">
        <f>E9</f>
        <v/>
      </c>
      <c r="F23" s="35">
        <f>F9</f>
        <v/>
      </c>
      <c r="G23" s="35">
        <f>G9</f>
        <v/>
      </c>
      <c r="H23" s="35">
        <f>H9</f>
        <v/>
      </c>
      <c r="I23" s="35">
        <f>I9</f>
        <v/>
      </c>
      <c r="J23" s="35">
        <f>J9</f>
        <v/>
      </c>
      <c r="K23" s="35">
        <f>K9</f>
        <v/>
      </c>
      <c r="L23" s="35">
        <f>L9</f>
        <v/>
      </c>
      <c r="M23" s="35">
        <f>M9</f>
        <v/>
      </c>
      <c r="N23" s="35">
        <f>N9</f>
        <v/>
      </c>
      <c r="O23" s="35">
        <f>O9</f>
        <v/>
      </c>
      <c r="P23" s="35">
        <f>P9</f>
        <v/>
      </c>
      <c r="Q23" s="35">
        <f>Q9</f>
        <v/>
      </c>
      <c r="R23" s="35">
        <f>R9</f>
        <v/>
      </c>
      <c r="S23" s="35">
        <f>S9</f>
        <v/>
      </c>
      <c r="T23" s="35">
        <f>T9</f>
        <v/>
      </c>
      <c r="U23" s="35">
        <f>U9</f>
        <v/>
      </c>
      <c r="V23" s="35">
        <f>V9</f>
        <v/>
      </c>
      <c r="W23" s="35">
        <f>W9</f>
        <v/>
      </c>
      <c r="X23" s="35">
        <f>X9</f>
        <v/>
      </c>
      <c r="Y23" s="35">
        <f>Y9</f>
        <v/>
      </c>
      <c r="Z23" s="35">
        <f>Z9</f>
        <v/>
      </c>
      <c r="AA23" s="35">
        <f>AA9</f>
        <v/>
      </c>
      <c r="AB23" s="35">
        <f>AB9</f>
        <v/>
      </c>
      <c r="AC23" s="35">
        <f>AC9</f>
        <v/>
      </c>
      <c r="AD23" s="35">
        <f>AD9</f>
        <v/>
      </c>
      <c r="AE23" s="35">
        <f>AE9</f>
        <v/>
      </c>
      <c r="AF23" s="35">
        <f>AF9</f>
        <v/>
      </c>
      <c r="AG23" s="35">
        <f>AG9</f>
        <v/>
      </c>
      <c r="AH23" s="35">
        <f>AH9</f>
        <v/>
      </c>
      <c r="AI23" s="35">
        <f>AI9</f>
        <v/>
      </c>
      <c r="AJ23" s="35">
        <f>AJ9</f>
        <v/>
      </c>
      <c r="AK23" s="35">
        <f>AK9</f>
        <v/>
      </c>
      <c r="AL23" s="35">
        <f>AL9</f>
        <v/>
      </c>
      <c r="AM23" s="35">
        <f>AM9</f>
        <v/>
      </c>
      <c r="AN23" s="35">
        <f>AN9</f>
        <v/>
      </c>
      <c r="AO23" s="35">
        <f>AO9</f>
        <v/>
      </c>
      <c r="AP23" s="35">
        <f>AP9</f>
        <v/>
      </c>
      <c r="AQ23" s="35">
        <f>AQ9</f>
        <v/>
      </c>
      <c r="AR23" s="35">
        <f>AR9</f>
        <v/>
      </c>
      <c r="AS23" s="35">
        <f>AS9</f>
        <v/>
      </c>
      <c r="AT23" s="35">
        <f>AT9</f>
        <v/>
      </c>
      <c r="AU23" s="35">
        <f>AU9</f>
        <v/>
      </c>
      <c r="AV23" s="35">
        <f>AV9</f>
        <v/>
      </c>
      <c r="AW23" s="35">
        <f>AW9</f>
        <v/>
      </c>
      <c r="AX23" s="35">
        <f>AX9</f>
        <v/>
      </c>
      <c r="AY23" s="35">
        <f>AY9</f>
        <v/>
      </c>
      <c r="AZ23" s="35">
        <f>AZ9</f>
        <v/>
      </c>
      <c r="BA23" s="35">
        <f>BA9</f>
        <v/>
      </c>
      <c r="BB23" s="35">
        <f>BB9</f>
        <v/>
      </c>
      <c r="BC23" s="35">
        <f>BC9</f>
        <v/>
      </c>
      <c r="BD23" s="35">
        <f>BD9</f>
        <v/>
      </c>
      <c r="BE23" s="35">
        <f>BE9</f>
        <v/>
      </c>
      <c r="BF23" s="35">
        <f>BF9</f>
        <v/>
      </c>
      <c r="BG23" s="35">
        <f>BG9</f>
        <v/>
      </c>
      <c r="BH23" s="35">
        <f>BH9</f>
        <v/>
      </c>
      <c r="BI23" s="35">
        <f>BI9</f>
        <v/>
      </c>
      <c r="BJ23" s="35">
        <f>BJ9</f>
        <v/>
      </c>
      <c r="BK23" s="35">
        <f>BK9</f>
        <v/>
      </c>
      <c r="BL23" s="35">
        <f>BL9</f>
        <v/>
      </c>
      <c r="BM23" s="35">
        <f>BM9</f>
        <v/>
      </c>
      <c r="BN23" s="35">
        <f>BN9</f>
        <v/>
      </c>
      <c r="BO23" s="35">
        <f>BO9</f>
        <v/>
      </c>
      <c r="BP23" s="35">
        <f>BP9</f>
        <v/>
      </c>
      <c r="BQ23" s="35">
        <f>BQ9</f>
        <v/>
      </c>
      <c r="BR23" s="35">
        <f>BR9</f>
        <v/>
      </c>
      <c r="BS23" s="35">
        <f>BS9</f>
        <v/>
      </c>
      <c r="BT23" s="35">
        <f>BT9</f>
        <v/>
      </c>
      <c r="BU23" s="35">
        <f>BU9</f>
        <v/>
      </c>
      <c r="BV23" s="35">
        <f>BV9</f>
        <v/>
      </c>
      <c r="BW23" s="35">
        <f>BW9</f>
        <v/>
      </c>
      <c r="BX23" s="35">
        <f>BX9</f>
        <v/>
      </c>
      <c r="BY23" s="35">
        <f>BY9</f>
        <v/>
      </c>
      <c r="BZ23" s="35">
        <f>BZ9</f>
        <v/>
      </c>
      <c r="CA23" s="35">
        <f>CA9</f>
        <v/>
      </c>
      <c r="CB23" s="35">
        <f>CB9</f>
        <v/>
      </c>
      <c r="CC23" s="35">
        <f>CC9</f>
        <v/>
      </c>
      <c r="CD23" s="35">
        <f>CD9</f>
        <v/>
      </c>
      <c r="CE23" s="35">
        <f>CE9</f>
        <v/>
      </c>
      <c r="CF23" s="35">
        <f>CF9</f>
        <v/>
      </c>
      <c r="CG23" s="35">
        <f>CG9</f>
        <v/>
      </c>
      <c r="CH23" s="35">
        <f>CH9</f>
        <v/>
      </c>
      <c r="CI23" s="35">
        <f>CI9</f>
        <v/>
      </c>
      <c r="CJ23" s="35">
        <f>CJ9</f>
        <v/>
      </c>
      <c r="CK23" s="35">
        <f>CK9</f>
        <v/>
      </c>
      <c r="CL23" s="35">
        <f>CL9</f>
        <v/>
      </c>
      <c r="CM23" s="35">
        <f>CM9</f>
        <v/>
      </c>
      <c r="CN23" s="35">
        <f>CN9</f>
        <v/>
      </c>
      <c r="CO23" s="35">
        <f>CO9</f>
        <v/>
      </c>
      <c r="CP23" s="35">
        <f>CP9</f>
        <v/>
      </c>
      <c r="CQ23" s="35">
        <f>CQ9</f>
        <v/>
      </c>
      <c r="CR23" s="35">
        <f>CR9</f>
        <v/>
      </c>
      <c r="CS23" s="35">
        <f>CS9</f>
        <v/>
      </c>
      <c r="CT23" s="35">
        <f>CT9</f>
        <v/>
      </c>
      <c r="CU23" s="35">
        <f>CU9</f>
        <v/>
      </c>
      <c r="CV23" s="35">
        <f>CV9</f>
        <v/>
      </c>
      <c r="CW23" s="35">
        <f>CW9</f>
        <v/>
      </c>
      <c r="CX23" s="35">
        <f>CX9</f>
        <v/>
      </c>
      <c r="CY23" s="35">
        <f>CY9</f>
        <v/>
      </c>
      <c r="CZ23" s="35">
        <f>CZ9</f>
        <v/>
      </c>
      <c r="DA23" s="35">
        <f>DA9</f>
        <v/>
      </c>
      <c r="DB23" s="35">
        <f>DB9</f>
        <v/>
      </c>
    </row>
    <row r="24">
      <c r="A24" s="16" t="inlineStr">
        <is>
          <t>Garantías y/o avales</t>
        </is>
      </c>
      <c r="B24" s="35">
        <f>B10</f>
        <v/>
      </c>
      <c r="C24" s="35">
        <f>C10</f>
        <v/>
      </c>
      <c r="D24" s="35">
        <f>D10</f>
        <v/>
      </c>
      <c r="E24" s="35">
        <f>E10</f>
        <v/>
      </c>
      <c r="F24" s="35">
        <f>F10</f>
        <v/>
      </c>
      <c r="G24" s="35">
        <f>G10</f>
        <v/>
      </c>
      <c r="H24" s="35">
        <f>H10</f>
        <v/>
      </c>
      <c r="I24" s="35">
        <f>I10</f>
        <v/>
      </c>
      <c r="J24" s="35">
        <f>J10</f>
        <v/>
      </c>
      <c r="K24" s="35">
        <f>K10</f>
        <v/>
      </c>
      <c r="L24" s="35">
        <f>L10</f>
        <v/>
      </c>
      <c r="M24" s="35">
        <f>M10</f>
        <v/>
      </c>
      <c r="N24" s="35">
        <f>N10</f>
        <v/>
      </c>
      <c r="O24" s="35">
        <f>O10</f>
        <v/>
      </c>
      <c r="P24" s="35">
        <f>P10</f>
        <v/>
      </c>
      <c r="Q24" s="35">
        <f>Q10</f>
        <v/>
      </c>
      <c r="R24" s="35">
        <f>R10</f>
        <v/>
      </c>
      <c r="S24" s="35">
        <f>S10</f>
        <v/>
      </c>
      <c r="T24" s="35">
        <f>T10</f>
        <v/>
      </c>
      <c r="U24" s="35">
        <f>U10</f>
        <v/>
      </c>
      <c r="V24" s="35">
        <f>V10</f>
        <v/>
      </c>
      <c r="W24" s="35">
        <f>W10</f>
        <v/>
      </c>
      <c r="X24" s="35">
        <f>X10</f>
        <v/>
      </c>
      <c r="Y24" s="35">
        <f>Y10</f>
        <v/>
      </c>
      <c r="Z24" s="35">
        <f>Z10</f>
        <v/>
      </c>
      <c r="AA24" s="35">
        <f>AA10</f>
        <v/>
      </c>
      <c r="AB24" s="35">
        <f>AB10</f>
        <v/>
      </c>
      <c r="AC24" s="35">
        <f>AC10</f>
        <v/>
      </c>
      <c r="AD24" s="35">
        <f>AD10</f>
        <v/>
      </c>
      <c r="AE24" s="35">
        <f>AE10</f>
        <v/>
      </c>
      <c r="AF24" s="35">
        <f>AF10</f>
        <v/>
      </c>
      <c r="AG24" s="35">
        <f>AG10</f>
        <v/>
      </c>
      <c r="AH24" s="35">
        <f>AH10</f>
        <v/>
      </c>
      <c r="AI24" s="35">
        <f>AI10</f>
        <v/>
      </c>
      <c r="AJ24" s="35">
        <f>AJ10</f>
        <v/>
      </c>
      <c r="AK24" s="35">
        <f>AK10</f>
        <v/>
      </c>
      <c r="AL24" s="35">
        <f>AL10</f>
        <v/>
      </c>
      <c r="AM24" s="35">
        <f>AM10</f>
        <v/>
      </c>
      <c r="AN24" s="35">
        <f>AN10</f>
        <v/>
      </c>
      <c r="AO24" s="35">
        <f>AO10</f>
        <v/>
      </c>
      <c r="AP24" s="35">
        <f>AP10</f>
        <v/>
      </c>
      <c r="AQ24" s="35">
        <f>AQ10</f>
        <v/>
      </c>
      <c r="AR24" s="35">
        <f>AR10</f>
        <v/>
      </c>
      <c r="AS24" s="35">
        <f>AS10</f>
        <v/>
      </c>
      <c r="AT24" s="35">
        <f>AT10</f>
        <v/>
      </c>
      <c r="AU24" s="35">
        <f>AU10</f>
        <v/>
      </c>
      <c r="AV24" s="35">
        <f>AV10</f>
        <v/>
      </c>
      <c r="AW24" s="35">
        <f>AW10</f>
        <v/>
      </c>
      <c r="AX24" s="35">
        <f>AX10</f>
        <v/>
      </c>
      <c r="AY24" s="35">
        <f>AY10</f>
        <v/>
      </c>
      <c r="AZ24" s="35">
        <f>AZ10</f>
        <v/>
      </c>
      <c r="BA24" s="35">
        <f>BA10</f>
        <v/>
      </c>
      <c r="BB24" s="35">
        <f>BB10</f>
        <v/>
      </c>
      <c r="BC24" s="35">
        <f>BC10</f>
        <v/>
      </c>
      <c r="BD24" s="35">
        <f>BD10</f>
        <v/>
      </c>
      <c r="BE24" s="35">
        <f>BE10</f>
        <v/>
      </c>
      <c r="BF24" s="35">
        <f>BF10</f>
        <v/>
      </c>
      <c r="BG24" s="35">
        <f>BG10</f>
        <v/>
      </c>
      <c r="BH24" s="35">
        <f>BH10</f>
        <v/>
      </c>
      <c r="BI24" s="35">
        <f>BI10</f>
        <v/>
      </c>
      <c r="BJ24" s="35">
        <f>BJ10</f>
        <v/>
      </c>
      <c r="BK24" s="35">
        <f>BK10</f>
        <v/>
      </c>
      <c r="BL24" s="35">
        <f>BL10</f>
        <v/>
      </c>
      <c r="BM24" s="35">
        <f>BM10</f>
        <v/>
      </c>
      <c r="BN24" s="35">
        <f>BN10</f>
        <v/>
      </c>
      <c r="BO24" s="35">
        <f>BO10</f>
        <v/>
      </c>
      <c r="BP24" s="35">
        <f>BP10</f>
        <v/>
      </c>
      <c r="BQ24" s="35">
        <f>BQ10</f>
        <v/>
      </c>
      <c r="BR24" s="35">
        <f>BR10</f>
        <v/>
      </c>
      <c r="BS24" s="35">
        <f>BS10</f>
        <v/>
      </c>
      <c r="BT24" s="35">
        <f>BT10</f>
        <v/>
      </c>
      <c r="BU24" s="35">
        <f>BU10</f>
        <v/>
      </c>
      <c r="BV24" s="35">
        <f>BV10</f>
        <v/>
      </c>
      <c r="BW24" s="35">
        <f>BW10</f>
        <v/>
      </c>
      <c r="BX24" s="35">
        <f>BX10</f>
        <v/>
      </c>
      <c r="BY24" s="35">
        <f>BY10</f>
        <v/>
      </c>
      <c r="BZ24" s="35">
        <f>BZ10</f>
        <v/>
      </c>
      <c r="CA24" s="35">
        <f>CA10</f>
        <v/>
      </c>
      <c r="CB24" s="35">
        <f>CB10</f>
        <v/>
      </c>
      <c r="CC24" s="35">
        <f>CC10</f>
        <v/>
      </c>
      <c r="CD24" s="35">
        <f>CD10</f>
        <v/>
      </c>
      <c r="CE24" s="35">
        <f>CE10</f>
        <v/>
      </c>
      <c r="CF24" s="35">
        <f>CF10</f>
        <v/>
      </c>
      <c r="CG24" s="35">
        <f>CG10</f>
        <v/>
      </c>
      <c r="CH24" s="35">
        <f>CH10</f>
        <v/>
      </c>
      <c r="CI24" s="35">
        <f>CI10</f>
        <v/>
      </c>
      <c r="CJ24" s="35">
        <f>CJ10</f>
        <v/>
      </c>
      <c r="CK24" s="35">
        <f>CK10</f>
        <v/>
      </c>
      <c r="CL24" s="35">
        <f>CL10</f>
        <v/>
      </c>
      <c r="CM24" s="35">
        <f>CM10</f>
        <v/>
      </c>
      <c r="CN24" s="35">
        <f>CN10</f>
        <v/>
      </c>
      <c r="CO24" s="35">
        <f>CO10</f>
        <v/>
      </c>
      <c r="CP24" s="35">
        <f>CP10</f>
        <v/>
      </c>
      <c r="CQ24" s="35">
        <f>CQ10</f>
        <v/>
      </c>
      <c r="CR24" s="35">
        <f>CR10</f>
        <v/>
      </c>
      <c r="CS24" s="35">
        <f>CS10</f>
        <v/>
      </c>
      <c r="CT24" s="35">
        <f>CT10</f>
        <v/>
      </c>
      <c r="CU24" s="35">
        <f>CU10</f>
        <v/>
      </c>
      <c r="CV24" s="35">
        <f>CV10</f>
        <v/>
      </c>
      <c r="CW24" s="35">
        <f>CW10</f>
        <v/>
      </c>
      <c r="CX24" s="35">
        <f>CX10</f>
        <v/>
      </c>
      <c r="CY24" s="35">
        <f>CY10</f>
        <v/>
      </c>
      <c r="CZ24" s="35">
        <f>CZ10</f>
        <v/>
      </c>
      <c r="DA24" s="35">
        <f>DA10</f>
        <v/>
      </c>
      <c r="DB24" s="35">
        <f>DB10</f>
        <v/>
      </c>
    </row>
    <row r="25">
      <c r="A25" s="45" t="inlineStr">
        <is>
          <t>Acuerdo OSPLAD</t>
        </is>
      </c>
      <c r="B25" s="35">
        <f>B11</f>
        <v/>
      </c>
      <c r="C25" s="35">
        <f>C11</f>
        <v/>
      </c>
      <c r="D25" s="35">
        <f>D11</f>
        <v/>
      </c>
      <c r="E25" s="35">
        <f>E11</f>
        <v/>
      </c>
      <c r="F25" s="35">
        <f>F11</f>
        <v/>
      </c>
      <c r="G25" s="35">
        <f>G11</f>
        <v/>
      </c>
      <c r="H25" s="35">
        <f>H11</f>
        <v/>
      </c>
      <c r="I25" s="35">
        <f>I11</f>
        <v/>
      </c>
      <c r="J25" s="35">
        <f>J11</f>
        <v/>
      </c>
      <c r="K25" s="35">
        <f>K11</f>
        <v/>
      </c>
      <c r="L25" s="35">
        <f>L11</f>
        <v/>
      </c>
      <c r="M25" s="35">
        <f>M11</f>
        <v/>
      </c>
      <c r="N25" s="35">
        <f>N11</f>
        <v/>
      </c>
      <c r="O25" s="35">
        <f>O11</f>
        <v/>
      </c>
      <c r="P25" s="35">
        <f>P11</f>
        <v/>
      </c>
      <c r="Q25" s="35">
        <f>Q11</f>
        <v/>
      </c>
      <c r="R25" s="35">
        <f>R11</f>
        <v/>
      </c>
      <c r="S25" s="35">
        <f>S11</f>
        <v/>
      </c>
      <c r="T25" s="35">
        <f>T11</f>
        <v/>
      </c>
      <c r="U25" s="35">
        <f>U11</f>
        <v/>
      </c>
      <c r="V25" s="35">
        <f>V11</f>
        <v/>
      </c>
      <c r="W25" s="35">
        <f>W11</f>
        <v/>
      </c>
      <c r="X25" s="35">
        <f>X11</f>
        <v/>
      </c>
      <c r="Y25" s="35">
        <f>Y11</f>
        <v/>
      </c>
      <c r="Z25" s="35">
        <f>Z11</f>
        <v/>
      </c>
      <c r="AA25" s="35">
        <f>AA11</f>
        <v/>
      </c>
      <c r="AB25" s="35">
        <f>AB11</f>
        <v/>
      </c>
      <c r="AC25" s="35">
        <f>AC11</f>
        <v/>
      </c>
      <c r="AD25" s="35">
        <f>AD11</f>
        <v/>
      </c>
      <c r="AE25" s="35">
        <f>AE11</f>
        <v/>
      </c>
      <c r="AF25" s="35">
        <f>AF11</f>
        <v/>
      </c>
      <c r="AG25" s="35">
        <f>AG11</f>
        <v/>
      </c>
      <c r="AH25" s="35">
        <f>AH11</f>
        <v/>
      </c>
      <c r="AI25" s="35">
        <f>AI11</f>
        <v/>
      </c>
      <c r="AJ25" s="35">
        <f>AJ11</f>
        <v/>
      </c>
      <c r="AK25" s="35">
        <f>AK11</f>
        <v/>
      </c>
      <c r="AL25" s="35">
        <f>AL11</f>
        <v/>
      </c>
      <c r="AM25" s="35">
        <f>AM11</f>
        <v/>
      </c>
      <c r="AN25" s="35">
        <f>AN11</f>
        <v/>
      </c>
      <c r="AO25" s="35">
        <f>AO11</f>
        <v/>
      </c>
      <c r="AP25" s="35">
        <f>AP11</f>
        <v/>
      </c>
      <c r="AQ25" s="35">
        <f>AQ11</f>
        <v/>
      </c>
      <c r="AR25" s="35">
        <f>AR11</f>
        <v/>
      </c>
      <c r="AS25" s="35">
        <f>AS11</f>
        <v/>
      </c>
      <c r="AT25" s="35">
        <f>AT11</f>
        <v/>
      </c>
      <c r="AU25" s="35">
        <f>AU11</f>
        <v/>
      </c>
      <c r="AV25" s="35">
        <f>AV11</f>
        <v/>
      </c>
      <c r="AW25" s="35">
        <f>AW11</f>
        <v/>
      </c>
      <c r="AX25" s="35">
        <f>AX11</f>
        <v/>
      </c>
      <c r="AY25" s="35">
        <f>AY11</f>
        <v/>
      </c>
      <c r="AZ25" s="35">
        <f>AZ11</f>
        <v/>
      </c>
      <c r="BA25" s="35">
        <f>BA11</f>
        <v/>
      </c>
      <c r="BB25" s="35">
        <f>BB11</f>
        <v/>
      </c>
      <c r="BC25" s="35">
        <f>BC11</f>
        <v/>
      </c>
      <c r="BD25" s="35">
        <f>BD11</f>
        <v/>
      </c>
      <c r="BE25" s="35">
        <f>BE11</f>
        <v/>
      </c>
      <c r="BF25" s="35">
        <f>BF11</f>
        <v/>
      </c>
      <c r="BG25" s="35">
        <f>BG11</f>
        <v/>
      </c>
      <c r="BH25" s="35">
        <f>BH11</f>
        <v/>
      </c>
      <c r="BI25" s="35">
        <f>BI11</f>
        <v/>
      </c>
      <c r="BJ25" s="35">
        <f>BJ11</f>
        <v/>
      </c>
      <c r="BK25" s="35">
        <f>BK11</f>
        <v/>
      </c>
      <c r="BL25" s="35">
        <f>BL11</f>
        <v/>
      </c>
      <c r="BM25" s="35">
        <f>BM11</f>
        <v/>
      </c>
      <c r="BN25" s="35">
        <f>BN11</f>
        <v/>
      </c>
      <c r="BO25" s="35">
        <f>BO11</f>
        <v/>
      </c>
      <c r="BP25" s="35">
        <f>BP11</f>
        <v/>
      </c>
      <c r="BQ25" s="35">
        <f>BQ11</f>
        <v/>
      </c>
      <c r="BR25" s="35">
        <f>BR11</f>
        <v/>
      </c>
      <c r="BS25" s="35">
        <f>BS11</f>
        <v/>
      </c>
      <c r="BT25" s="35">
        <f>BT11</f>
        <v/>
      </c>
      <c r="BU25" s="35">
        <f>BU11</f>
        <v/>
      </c>
      <c r="BV25" s="35">
        <f>BV11</f>
        <v/>
      </c>
      <c r="BW25" s="35">
        <f>BW11</f>
        <v/>
      </c>
      <c r="BX25" s="35">
        <f>BX11</f>
        <v/>
      </c>
      <c r="BY25" s="35">
        <f>BY11</f>
        <v/>
      </c>
      <c r="BZ25" s="35">
        <f>BZ11</f>
        <v/>
      </c>
      <c r="CA25" s="35">
        <f>CA11</f>
        <v/>
      </c>
      <c r="CB25" s="35">
        <f>CB11</f>
        <v/>
      </c>
      <c r="CC25" s="35">
        <f>CC11</f>
        <v/>
      </c>
      <c r="CD25" s="35">
        <f>CD11</f>
        <v/>
      </c>
      <c r="CE25" s="35">
        <f>CE11</f>
        <v/>
      </c>
      <c r="CF25" s="35">
        <f>CF11</f>
        <v/>
      </c>
      <c r="CG25" s="35">
        <f>CG11</f>
        <v/>
      </c>
      <c r="CH25" s="35">
        <f>CH11</f>
        <v/>
      </c>
      <c r="CI25" s="35">
        <f>CI11</f>
        <v/>
      </c>
      <c r="CJ25" s="35">
        <f>CJ11</f>
        <v/>
      </c>
      <c r="CK25" s="35">
        <f>CK11</f>
        <v/>
      </c>
      <c r="CL25" s="35">
        <f>CL11</f>
        <v/>
      </c>
      <c r="CM25" s="35">
        <f>CM11</f>
        <v/>
      </c>
      <c r="CN25" s="35">
        <f>CN11</f>
        <v/>
      </c>
      <c r="CO25" s="35">
        <f>CO11</f>
        <v/>
      </c>
      <c r="CP25" s="35">
        <f>CP11</f>
        <v/>
      </c>
      <c r="CQ25" s="35">
        <f>CQ11</f>
        <v/>
      </c>
      <c r="CR25" s="35">
        <f>CR11</f>
        <v/>
      </c>
      <c r="CS25" s="35">
        <f>CS11</f>
        <v/>
      </c>
      <c r="CT25" s="35">
        <f>CT11</f>
        <v/>
      </c>
      <c r="CU25" s="35">
        <f>CU11</f>
        <v/>
      </c>
      <c r="CV25" s="35">
        <f>CV11</f>
        <v/>
      </c>
      <c r="CW25" s="35">
        <f>CW11</f>
        <v/>
      </c>
      <c r="CX25" s="35">
        <f>CX11</f>
        <v/>
      </c>
      <c r="CY25" s="35">
        <f>CY11</f>
        <v/>
      </c>
      <c r="CZ25" s="35">
        <f>CZ11</f>
        <v/>
      </c>
      <c r="DA25" s="35">
        <f>DA11</f>
        <v/>
      </c>
      <c r="DB25" s="35">
        <f>DB11</f>
        <v/>
      </c>
    </row>
    <row r="26">
      <c r="A26" s="1" t="inlineStr">
        <is>
          <t>Préstamo ANSES - Ley 5603</t>
        </is>
      </c>
      <c r="B26" s="35">
        <f>B12</f>
        <v/>
      </c>
      <c r="C26" s="35">
        <f>C12</f>
        <v/>
      </c>
      <c r="D26" s="35">
        <f>D12</f>
        <v/>
      </c>
      <c r="E26" s="35">
        <f>E12</f>
        <v/>
      </c>
      <c r="F26" s="35">
        <f>F12</f>
        <v/>
      </c>
      <c r="G26" s="35">
        <f>G12</f>
        <v/>
      </c>
      <c r="H26" s="35">
        <f>H12</f>
        <v/>
      </c>
      <c r="I26" s="35">
        <f>I12</f>
        <v/>
      </c>
      <c r="J26" s="35">
        <f>J12</f>
        <v/>
      </c>
      <c r="K26" s="35">
        <f>K12</f>
        <v/>
      </c>
      <c r="L26" s="35">
        <f>L12</f>
        <v/>
      </c>
      <c r="M26" s="35">
        <f>M12</f>
        <v/>
      </c>
      <c r="N26" s="35">
        <f>N12</f>
        <v/>
      </c>
      <c r="O26" s="35">
        <f>O12</f>
        <v/>
      </c>
      <c r="P26" s="35">
        <f>P12</f>
        <v/>
      </c>
      <c r="Q26" s="35">
        <f>Q12</f>
        <v/>
      </c>
      <c r="R26" s="35">
        <f>R12</f>
        <v/>
      </c>
      <c r="S26" s="35">
        <f>S12</f>
        <v/>
      </c>
      <c r="T26" s="35">
        <f>T12</f>
        <v/>
      </c>
      <c r="U26" s="35">
        <f>U12</f>
        <v/>
      </c>
      <c r="V26" s="35">
        <f>V12</f>
        <v/>
      </c>
      <c r="W26" s="35">
        <f>W12</f>
        <v/>
      </c>
      <c r="X26" s="35">
        <f>X12</f>
        <v/>
      </c>
      <c r="Y26" s="35">
        <f>Y12</f>
        <v/>
      </c>
      <c r="Z26" s="35">
        <f>Z12</f>
        <v/>
      </c>
      <c r="AA26" s="35">
        <f>AA12</f>
        <v/>
      </c>
      <c r="AB26" s="35">
        <f>AB12</f>
        <v/>
      </c>
      <c r="AC26" s="35">
        <f>AC12</f>
        <v/>
      </c>
      <c r="AD26" s="35">
        <f>AD12</f>
        <v/>
      </c>
      <c r="AE26" s="35">
        <f>AE12</f>
        <v/>
      </c>
      <c r="AF26" s="35">
        <f>AF12</f>
        <v/>
      </c>
      <c r="AG26" s="35">
        <f>AG12</f>
        <v/>
      </c>
      <c r="AH26" s="35">
        <f>AH12</f>
        <v/>
      </c>
      <c r="AI26" s="35">
        <f>AI12</f>
        <v/>
      </c>
      <c r="AJ26" s="35">
        <f>AJ12</f>
        <v/>
      </c>
      <c r="AK26" s="35">
        <f>AK12</f>
        <v/>
      </c>
      <c r="AL26" s="35">
        <f>AL12</f>
        <v/>
      </c>
      <c r="AM26" s="35">
        <f>AM12</f>
        <v/>
      </c>
      <c r="AN26" s="35">
        <f>AN12</f>
        <v/>
      </c>
      <c r="AO26" s="35">
        <f>AO12</f>
        <v/>
      </c>
      <c r="AP26" s="35">
        <f>AP12</f>
        <v/>
      </c>
      <c r="AQ26" s="35">
        <f>AQ12</f>
        <v/>
      </c>
      <c r="AR26" s="35">
        <f>AR12</f>
        <v/>
      </c>
      <c r="AS26" s="35">
        <f>AS12</f>
        <v/>
      </c>
      <c r="AT26" s="35">
        <f>AT12</f>
        <v/>
      </c>
      <c r="AU26" s="35">
        <f>AU12</f>
        <v/>
      </c>
      <c r="AV26" s="35">
        <f>AV12</f>
        <v/>
      </c>
      <c r="AW26" s="35">
        <f>AW12</f>
        <v/>
      </c>
      <c r="AX26" s="35">
        <f>AX12</f>
        <v/>
      </c>
      <c r="AY26" s="35">
        <f>AY12</f>
        <v/>
      </c>
      <c r="AZ26" s="35">
        <f>AZ12</f>
        <v/>
      </c>
      <c r="BA26" s="35">
        <f>BA12</f>
        <v/>
      </c>
      <c r="BB26" s="35">
        <f>BB12</f>
        <v/>
      </c>
      <c r="BC26" s="35">
        <f>BC12</f>
        <v/>
      </c>
      <c r="BD26" s="35">
        <f>BD12</f>
        <v/>
      </c>
      <c r="BE26" s="35">
        <f>BE12</f>
        <v/>
      </c>
      <c r="BF26" s="35">
        <f>BF12</f>
        <v/>
      </c>
      <c r="BG26" s="35">
        <f>BG12</f>
        <v/>
      </c>
      <c r="BH26" s="35">
        <f>BH12</f>
        <v/>
      </c>
      <c r="BI26" s="35">
        <f>BI12</f>
        <v/>
      </c>
      <c r="BJ26" s="35">
        <f>BJ12</f>
        <v/>
      </c>
      <c r="BK26" s="35">
        <f>BK12</f>
        <v/>
      </c>
      <c r="BL26" s="35">
        <f>BL12</f>
        <v/>
      </c>
      <c r="BM26" s="35">
        <f>BM12</f>
        <v/>
      </c>
      <c r="BN26" s="35">
        <f>BN12</f>
        <v/>
      </c>
      <c r="BO26" s="35">
        <f>BO12</f>
        <v/>
      </c>
      <c r="BP26" s="35">
        <f>BP12</f>
        <v/>
      </c>
      <c r="BQ26" s="35">
        <f>BQ12</f>
        <v/>
      </c>
      <c r="BR26" s="35">
        <f>BR12</f>
        <v/>
      </c>
      <c r="BS26" s="35">
        <f>BS12</f>
        <v/>
      </c>
      <c r="BT26" s="35">
        <f>BT12</f>
        <v/>
      </c>
      <c r="BU26" s="35">
        <f>BU12</f>
        <v/>
      </c>
      <c r="BV26" s="35">
        <f>BV12</f>
        <v/>
      </c>
      <c r="BW26" s="35">
        <f>BW12</f>
        <v/>
      </c>
      <c r="BX26" s="35">
        <f>BX12</f>
        <v/>
      </c>
      <c r="BY26" s="35">
        <f>BY12</f>
        <v/>
      </c>
      <c r="BZ26" s="35">
        <f>BZ12</f>
        <v/>
      </c>
      <c r="CA26" s="35">
        <f>CA12</f>
        <v/>
      </c>
      <c r="CB26" s="35">
        <f>CB12</f>
        <v/>
      </c>
      <c r="CC26" s="35">
        <f>CC12</f>
        <v/>
      </c>
      <c r="CD26" s="35">
        <f>CD12</f>
        <v/>
      </c>
      <c r="CE26" s="35">
        <f>CE12</f>
        <v/>
      </c>
      <c r="CF26" s="35">
        <f>CF12</f>
        <v/>
      </c>
      <c r="CG26" s="35">
        <f>CG12</f>
        <v/>
      </c>
      <c r="CH26" s="35">
        <f>CH12</f>
        <v/>
      </c>
      <c r="CI26" s="35">
        <f>CI12</f>
        <v/>
      </c>
      <c r="CJ26" s="35">
        <f>CJ12</f>
        <v/>
      </c>
      <c r="CK26" s="35">
        <f>CK12</f>
        <v/>
      </c>
      <c r="CL26" s="35">
        <f>CL12</f>
        <v/>
      </c>
      <c r="CM26" s="35">
        <f>CM12</f>
        <v/>
      </c>
      <c r="CN26" s="35">
        <f>CN12</f>
        <v/>
      </c>
      <c r="CO26" s="35">
        <f>CO12</f>
        <v/>
      </c>
      <c r="CP26" s="35">
        <f>CP12</f>
        <v/>
      </c>
      <c r="CQ26" s="35">
        <f>CQ12</f>
        <v/>
      </c>
      <c r="CR26" s="35">
        <f>CR12</f>
        <v/>
      </c>
      <c r="CS26" s="35">
        <f>CS12</f>
        <v/>
      </c>
      <c r="CT26" s="35">
        <f>CT12</f>
        <v/>
      </c>
      <c r="CU26" s="35">
        <f>CU12</f>
        <v/>
      </c>
      <c r="CV26" s="35">
        <f>CV12</f>
        <v/>
      </c>
      <c r="CW26" s="35">
        <f>CW12</f>
        <v/>
      </c>
      <c r="CX26" s="35">
        <f>CX12</f>
        <v/>
      </c>
      <c r="CY26" s="35">
        <f>CY12</f>
        <v/>
      </c>
      <c r="CZ26" s="35">
        <f>CZ12</f>
        <v/>
      </c>
      <c r="DA26" s="35">
        <f>DA12</f>
        <v/>
      </c>
      <c r="DB26" s="35">
        <f>DB12</f>
        <v/>
      </c>
    </row>
  </sheetData>
  <mergeCells count="24">
    <mergeCell ref="BH1:BK1"/>
    <mergeCell ref="B2:G2"/>
    <mergeCell ref="BP1:BS1"/>
    <mergeCell ref="BE1:BG1"/>
    <mergeCell ref="Y1:AA1"/>
    <mergeCell ref="CI1:CM1"/>
    <mergeCell ref="Q1:S1"/>
    <mergeCell ref="CD1:CH1"/>
    <mergeCell ref="AC1:AE1"/>
    <mergeCell ref="AK1:AM1"/>
    <mergeCell ref="AO1:AQ1"/>
    <mergeCell ref="AV1:AY1"/>
    <mergeCell ref="H1:K1"/>
    <mergeCell ref="AZ1:BC1"/>
    <mergeCell ref="BL1:BO1"/>
    <mergeCell ref="U1:W1"/>
    <mergeCell ref="CX1:DB1"/>
    <mergeCell ref="CS1:CW1"/>
    <mergeCell ref="AG1:AI1"/>
    <mergeCell ref="AS1:AU1"/>
    <mergeCell ref="BT1:BX1"/>
    <mergeCell ref="CN1:CR1"/>
    <mergeCell ref="BY1:CC1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6"/>
  <sheetViews>
    <sheetView topLeftCell="A64" workbookViewId="0">
      <selection activeCell="E102" sqref="E102"/>
    </sheetView>
  </sheetViews>
  <sheetFormatPr baseColWidth="10" defaultRowHeight="14.4"/>
  <cols>
    <col width="25" customWidth="1" min="3" max="3"/>
    <col width="17.77734375" customWidth="1" min="4" max="4"/>
    <col width="16" customWidth="1" min="5" max="5"/>
    <col width="28.77734375" customWidth="1" min="6" max="6"/>
    <col width="17.21875" customWidth="1" min="7" max="7"/>
    <col width="34.77734375" customWidth="1" min="8" max="8"/>
    <col width="19.44140625" customWidth="1" min="9" max="9"/>
    <col width="16.88671875" customWidth="1" min="10" max="10"/>
    <col width="25.33203125" customWidth="1" min="11" max="11"/>
  </cols>
  <sheetData>
    <row r="1">
      <c r="A1" t="inlineStr">
        <is>
          <t>Columna1</t>
        </is>
      </c>
      <c r="B1" t="inlineStr">
        <is>
          <t>Columna2</t>
        </is>
      </c>
      <c r="C1" t="inlineStr">
        <is>
          <t>Proveedores y Contratistas</t>
        </is>
      </c>
      <c r="D1" t="inlineStr">
        <is>
          <t>Deuda previsional</t>
        </is>
      </c>
      <c r="E1" t="inlineStr">
        <is>
          <t>Títulos públicos</t>
        </is>
      </c>
      <c r="F1" t="inlineStr">
        <is>
          <t>Letras del Tesoro Ley 3395 art. 2</t>
        </is>
      </c>
      <c r="G1" t="inlineStr">
        <is>
          <t xml:space="preserve">Deuda financiera </t>
        </is>
      </c>
      <c r="H1" t="inlineStr">
        <is>
          <t>Organismos internacionales de crédito</t>
        </is>
      </c>
      <c r="I1" t="inlineStr">
        <is>
          <t>Garantías y/o avales</t>
        </is>
      </c>
      <c r="J1" t="inlineStr">
        <is>
          <t>Acuerdo OSPLAD</t>
        </is>
      </c>
      <c r="K1" t="inlineStr">
        <is>
          <t>Préstamo ANSES - Ley 5603</t>
        </is>
      </c>
    </row>
    <row r="2">
      <c r="A2" t="n">
        <v>1996</v>
      </c>
      <c r="B2" t="inlineStr">
        <is>
          <t>Total en ARS</t>
        </is>
      </c>
      <c r="C2" t="n">
        <v>1000.6</v>
      </c>
      <c r="D2" t="n">
        <v>481.3</v>
      </c>
      <c r="E2" t="inlineStr">
        <is>
          <t>-</t>
        </is>
      </c>
      <c r="F2" t="inlineStr">
        <is>
          <t>-</t>
        </is>
      </c>
      <c r="G2" t="n">
        <v>496.1</v>
      </c>
      <c r="H2" t="n">
        <v>23.2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n">
        <v>1997</v>
      </c>
      <c r="B3" t="inlineStr">
        <is>
          <t>Total en ARS</t>
        </is>
      </c>
      <c r="C3" t="n">
        <v>1162.1</v>
      </c>
      <c r="D3" t="n">
        <v>420.6</v>
      </c>
      <c r="E3" t="inlineStr">
        <is>
          <t>-</t>
        </is>
      </c>
      <c r="F3" t="inlineStr">
        <is>
          <t>-</t>
        </is>
      </c>
      <c r="G3" t="n">
        <v>226.1</v>
      </c>
      <c r="H3" t="n">
        <v>19.2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n">
        <v>1998</v>
      </c>
      <c r="B4" t="inlineStr">
        <is>
          <t>Total en ARS</t>
        </is>
      </c>
      <c r="C4" t="n">
        <v>1035.55390812</v>
      </c>
      <c r="D4" t="n">
        <v>396.49444989</v>
      </c>
      <c r="E4" t="inlineStr">
        <is>
          <t>-</t>
        </is>
      </c>
      <c r="F4" t="inlineStr">
        <is>
          <t>-</t>
        </is>
      </c>
      <c r="G4" t="n">
        <v>121.48071864</v>
      </c>
      <c r="H4" t="n">
        <v>17.6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n">
        <v>1999</v>
      </c>
      <c r="B5" t="inlineStr">
        <is>
          <t>Total en ARS</t>
        </is>
      </c>
      <c r="C5" t="n">
        <v>825.6599999999999</v>
      </c>
      <c r="D5" t="n">
        <v>201.7</v>
      </c>
      <c r="E5" t="n">
        <v>62</v>
      </c>
      <c r="F5" t="inlineStr">
        <is>
          <t>-</t>
        </is>
      </c>
      <c r="G5" t="n">
        <v>49.3</v>
      </c>
      <c r="H5" t="n">
        <v>23.76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n">
        <v>2000</v>
      </c>
      <c r="B6" t="inlineStr">
        <is>
          <t>Total en ARS</t>
        </is>
      </c>
      <c r="C6" t="n">
        <v>1201.86</v>
      </c>
      <c r="D6" t="n">
        <v>483.73</v>
      </c>
      <c r="E6" t="n">
        <v>96.90000000000001</v>
      </c>
      <c r="F6" t="inlineStr">
        <is>
          <t>-</t>
        </is>
      </c>
      <c r="G6" t="n">
        <v>13.81</v>
      </c>
      <c r="H6" t="n">
        <v>45.22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n">
        <v>2001</v>
      </c>
      <c r="B7" t="inlineStr">
        <is>
          <t>Total en ARS</t>
        </is>
      </c>
      <c r="C7" t="n">
        <v>1438.73</v>
      </c>
      <c r="D7" t="n">
        <v>655.35</v>
      </c>
      <c r="E7" t="n">
        <v>89.09</v>
      </c>
      <c r="F7" t="inlineStr">
        <is>
          <t>-</t>
        </is>
      </c>
      <c r="G7" t="n">
        <v>76.95999999999999</v>
      </c>
      <c r="H7" t="n">
        <v>55.13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n">
        <v>2002</v>
      </c>
      <c r="B8" t="inlineStr">
        <is>
          <t>Total en ARS</t>
        </is>
      </c>
      <c r="C8" t="n">
        <v>2928.0004</v>
      </c>
      <c r="D8" t="n">
        <v>665.2</v>
      </c>
      <c r="E8" t="n">
        <v>87.88</v>
      </c>
      <c r="F8" t="inlineStr">
        <is>
          <t>-</t>
        </is>
      </c>
      <c r="G8" t="n">
        <v>11.96</v>
      </c>
      <c r="H8" t="n">
        <v>316.7808000000001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n">
        <v>2002</v>
      </c>
      <c r="B9" t="inlineStr">
        <is>
          <t>pesos</t>
        </is>
      </c>
      <c r="C9" t="n">
        <v>12.5</v>
      </c>
      <c r="D9" t="n">
        <v>665.16</v>
      </c>
      <c r="E9" t="n">
        <v>87.88</v>
      </c>
      <c r="F9" t="inlineStr">
        <is>
          <t>-</t>
        </is>
      </c>
      <c r="G9" t="n">
        <v>11.96</v>
      </c>
      <c r="H9" t="n">
        <v>0.54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n">
        <v>2002</v>
      </c>
      <c r="B10" t="inlineStr">
        <is>
          <t>dólares</t>
        </is>
      </c>
      <c r="C10" t="n">
        <v>93.84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93.84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n">
        <v>2002</v>
      </c>
      <c r="B11" t="inlineStr">
        <is>
          <t>euros</t>
        </is>
      </c>
      <c r="C11" t="n">
        <v>197.21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n">
        <v>2003</v>
      </c>
      <c r="B12" t="inlineStr">
        <is>
          <t>Total en ARS</t>
        </is>
      </c>
      <c r="C12" t="n">
        <v>2162.1637</v>
      </c>
      <c r="D12" t="n">
        <v>356.4</v>
      </c>
      <c r="E12" t="n">
        <v>64.02</v>
      </c>
      <c r="F12" t="inlineStr">
        <is>
          <t>-</t>
        </is>
      </c>
      <c r="G12" t="n">
        <v>10.43</v>
      </c>
      <c r="H12" t="n">
        <v>315.255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n">
        <v>2003</v>
      </c>
      <c r="B13" t="inlineStr">
        <is>
          <t>pesos</t>
        </is>
      </c>
      <c r="C13" t="n">
        <v>702.1199999999999</v>
      </c>
      <c r="D13" t="n">
        <v>356.44</v>
      </c>
      <c r="E13" t="n">
        <v>64.02</v>
      </c>
      <c r="F13" t="inlineStr">
        <is>
          <t>-</t>
        </is>
      </c>
      <c r="G13" t="n">
        <v>10.43</v>
      </c>
      <c r="H13" t="n">
        <v>0.28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n">
        <v>2003</v>
      </c>
      <c r="B14" t="inlineStr">
        <is>
          <t>dólares</t>
        </is>
      </c>
      <c r="C14" t="n">
        <v>361.74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n">
        <v>107.5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n">
        <v>2003</v>
      </c>
      <c r="B15" t="inlineStr">
        <is>
          <t>euros</t>
        </is>
      </c>
      <c r="C15" t="n">
        <v>199.15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n">
        <v>2004</v>
      </c>
      <c r="B16" t="inlineStr">
        <is>
          <t>Total en ARS</t>
        </is>
      </c>
      <c r="C16" t="n">
        <v>2687.81951246</v>
      </c>
      <c r="D16" t="n">
        <v>454.59</v>
      </c>
      <c r="E16" t="n">
        <v>38.92</v>
      </c>
      <c r="F16" t="inlineStr">
        <is>
          <t>-</t>
        </is>
      </c>
      <c r="G16" t="n">
        <v>10.1649</v>
      </c>
      <c r="H16" t="n">
        <v>334.0954458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n">
        <v>2004</v>
      </c>
      <c r="B17" t="inlineStr">
        <is>
          <t>pesos</t>
        </is>
      </c>
      <c r="C17" t="n">
        <v>795.2148999999999</v>
      </c>
      <c r="D17" t="n">
        <v>454.59</v>
      </c>
      <c r="E17" t="n">
        <v>38.92</v>
      </c>
      <c r="F17" t="inlineStr">
        <is>
          <t>-</t>
        </is>
      </c>
      <c r="G17" t="n">
        <v>10.1649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n">
        <v>2004</v>
      </c>
      <c r="B18" t="inlineStr">
        <is>
          <t>dólares</t>
        </is>
      </c>
      <c r="C18" t="n">
        <v>366.3913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112.1502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n">
        <v>2004</v>
      </c>
      <c r="B19" t="inlineStr">
        <is>
          <t>euros</t>
        </is>
      </c>
      <c r="C19" t="n">
        <v>197.3603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n">
        <v>2005</v>
      </c>
      <c r="B20" t="inlineStr">
        <is>
          <t>Total en ARS</t>
        </is>
      </c>
      <c r="C20" t="n">
        <v>3190.82055421</v>
      </c>
      <c r="D20" t="n">
        <v>970.17</v>
      </c>
      <c r="E20" t="n">
        <v>35.9</v>
      </c>
      <c r="F20" t="inlineStr">
        <is>
          <t>-</t>
        </is>
      </c>
      <c r="G20" t="n">
        <v>7.9</v>
      </c>
      <c r="H20" t="n">
        <v>356.0620104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n">
        <v>2005</v>
      </c>
      <c r="B21" t="inlineStr">
        <is>
          <t>pesos</t>
        </is>
      </c>
      <c r="C21" t="n">
        <v>1441.5514</v>
      </c>
      <c r="D21" t="n">
        <v>970.17</v>
      </c>
      <c r="E21" t="n">
        <v>35.8677</v>
      </c>
      <c r="F21" t="inlineStr">
        <is>
          <t>-</t>
        </is>
      </c>
      <c r="G21" t="n">
        <v>7.856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n">
        <v>2005</v>
      </c>
      <c r="B22" t="inlineStr">
        <is>
          <t>dólares</t>
        </is>
      </c>
      <c r="C22" t="n">
        <v>371.8647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n">
        <v>117.4347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n">
        <v>2005</v>
      </c>
      <c r="B23" t="inlineStr">
        <is>
          <t>euros</t>
        </is>
      </c>
      <c r="C23" t="n">
        <v>173.3249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n">
        <v>2006</v>
      </c>
      <c r="B24" t="inlineStr">
        <is>
          <t>Total en ARS</t>
        </is>
      </c>
      <c r="C24" t="n">
        <v>3069.733326</v>
      </c>
      <c r="D24" t="n">
        <v>1164.316</v>
      </c>
      <c r="E24" t="n">
        <v>34.2876</v>
      </c>
      <c r="F24" t="inlineStr">
        <is>
          <t>-</t>
        </is>
      </c>
      <c r="G24" t="n">
        <v>6.8733</v>
      </c>
      <c r="H24" t="n">
        <v>464.024991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n">
        <v>2006</v>
      </c>
      <c r="B25" t="inlineStr">
        <is>
          <t>pesos</t>
        </is>
      </c>
      <c r="C25" t="n">
        <v>1382.2263</v>
      </c>
      <c r="D25" t="n">
        <v>1164.316</v>
      </c>
      <c r="E25" t="n">
        <v>34.2876</v>
      </c>
      <c r="F25" t="inlineStr">
        <is>
          <t>-</t>
        </is>
      </c>
      <c r="G25" t="n">
        <v>6.8733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n">
        <v>2006</v>
      </c>
      <c r="B26" t="inlineStr">
        <is>
          <t>dólares</t>
        </is>
      </c>
      <c r="C26" t="n">
        <v>404.6549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n">
        <v>150.1699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n">
        <v>2006</v>
      </c>
      <c r="B27" t="inlineStr">
        <is>
          <t>euros</t>
        </is>
      </c>
      <c r="C27" t="n">
        <v>107.9317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n">
        <v>2007</v>
      </c>
      <c r="B28" t="inlineStr">
        <is>
          <t>Total en ARS</t>
        </is>
      </c>
      <c r="C28" t="n">
        <v>2722.11991185</v>
      </c>
      <c r="D28" t="n">
        <v>962.4666999999999</v>
      </c>
      <c r="E28" t="n">
        <v>34.1133</v>
      </c>
      <c r="F28" t="inlineStr">
        <is>
          <t>-</t>
        </is>
      </c>
      <c r="G28" t="n">
        <v>5.4189</v>
      </c>
      <c r="H28" t="n">
        <v>624.0108676</v>
      </c>
      <c r="I28" t="n">
        <v>6.780516</v>
      </c>
      <c r="J28" t="inlineStr">
        <is>
          <t>-</t>
        </is>
      </c>
      <c r="K28" t="inlineStr">
        <is>
          <t>-</t>
        </is>
      </c>
    </row>
    <row r="29">
      <c r="A29" t="n">
        <v>2007</v>
      </c>
      <c r="B29" t="inlineStr">
        <is>
          <t>pesos</t>
        </is>
      </c>
      <c r="C29" t="n">
        <v>1096.9815</v>
      </c>
      <c r="D29" t="n">
        <v>962.4666999999999</v>
      </c>
      <c r="E29" t="n">
        <v>34.1133</v>
      </c>
      <c r="F29" t="inlineStr">
        <is>
          <t>-</t>
        </is>
      </c>
      <c r="G29" t="n">
        <v>5.4189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n">
        <v>2007</v>
      </c>
      <c r="B30" t="inlineStr">
        <is>
          <t>dólares</t>
        </is>
      </c>
      <c r="C30" t="n">
        <v>452.143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197.658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n">
        <v>2007</v>
      </c>
      <c r="B31" t="inlineStr">
        <is>
          <t>euros</t>
        </is>
      </c>
      <c r="C31" t="n">
        <v>43.4719</v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n">
        <v>0.3424</v>
      </c>
      <c r="I31" t="n">
        <v>1.464</v>
      </c>
      <c r="J31" t="inlineStr">
        <is>
          <t>-</t>
        </is>
      </c>
      <c r="K31" t="inlineStr">
        <is>
          <t>-</t>
        </is>
      </c>
    </row>
    <row r="32">
      <c r="A32" t="n">
        <v>2008</v>
      </c>
      <c r="B32" t="inlineStr">
        <is>
          <t>Total en ARS</t>
        </is>
      </c>
      <c r="C32" t="n">
        <v>3688.0461065315</v>
      </c>
      <c r="D32" t="n">
        <v>1975.3239</v>
      </c>
      <c r="E32" t="n">
        <v>33.5211</v>
      </c>
      <c r="F32" t="inlineStr">
        <is>
          <t>-</t>
        </is>
      </c>
      <c r="G32" t="n">
        <v>4.0424</v>
      </c>
      <c r="H32" t="n">
        <v>680.553168741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n">
        <v>2008</v>
      </c>
      <c r="B33" t="inlineStr">
        <is>
          <t>pesos</t>
        </is>
      </c>
      <c r="C33" t="n">
        <v>2070.2912</v>
      </c>
      <c r="D33" t="n">
        <v>1975.3239</v>
      </c>
      <c r="E33" t="n">
        <v>33.5211</v>
      </c>
      <c r="F33" t="inlineStr">
        <is>
          <t>-</t>
        </is>
      </c>
      <c r="G33" t="n">
        <v>4.0424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n">
        <v>2008</v>
      </c>
      <c r="B34" t="inlineStr">
        <is>
          <t>dólares</t>
        </is>
      </c>
      <c r="C34" t="n">
        <v>441.9628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187.4778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n">
        <v>2008</v>
      </c>
      <c r="B35" t="inlineStr">
        <is>
          <t>euros</t>
        </is>
      </c>
      <c r="C35" t="n">
        <v>19.0719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6.9066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n">
        <v>2009</v>
      </c>
      <c r="B36" t="inlineStr">
        <is>
          <t>Total en ARS</t>
        </is>
      </c>
      <c r="C36" t="n">
        <v>4899.370722811999</v>
      </c>
      <c r="D36" t="n">
        <v>2326.3446</v>
      </c>
      <c r="E36" t="n">
        <v>33.1605</v>
      </c>
      <c r="F36" t="n">
        <v>300.7434</v>
      </c>
      <c r="G36" t="n">
        <v>1.7782</v>
      </c>
      <c r="H36" t="n">
        <v>775.4652428119999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n">
        <v>2009</v>
      </c>
      <c r="B37" t="inlineStr">
        <is>
          <t>pesos</t>
        </is>
      </c>
      <c r="C37" t="n">
        <v>3288.2338</v>
      </c>
      <c r="D37" t="n">
        <v>2326.3446</v>
      </c>
      <c r="E37" t="n">
        <v>33.1605</v>
      </c>
      <c r="F37" t="n">
        <v>300.7434</v>
      </c>
      <c r="G37" t="n">
        <v>1.7782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n">
        <v>2009</v>
      </c>
      <c r="B38" t="inlineStr">
        <is>
          <t>dólares</t>
        </is>
      </c>
      <c r="C38" t="n">
        <v>389.0427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169.1291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n">
        <v>2009</v>
      </c>
      <c r="B39" t="inlineStr">
        <is>
          <t xml:space="preserve">  euros</t>
        </is>
      </c>
      <c r="C39" t="n">
        <v>24.3778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24.3778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n">
        <v>2010</v>
      </c>
      <c r="B40" t="inlineStr">
        <is>
          <t>Total en ARS</t>
        </is>
      </c>
      <c r="C40" t="n">
        <v>6861.7634193256</v>
      </c>
      <c r="D40" t="n">
        <v>2349.6618</v>
      </c>
      <c r="E40" t="n">
        <v>32.7616</v>
      </c>
      <c r="F40" t="n">
        <v>543.5121</v>
      </c>
      <c r="G40" t="n">
        <v>0.4507</v>
      </c>
      <c r="H40" t="n">
        <v>911.2709193256001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n">
        <v>2010</v>
      </c>
      <c r="B41" t="inlineStr">
        <is>
          <t>pesos</t>
        </is>
      </c>
      <c r="C41" t="n">
        <v>3466.9338</v>
      </c>
      <c r="D41" t="n">
        <v>2349.6618</v>
      </c>
      <c r="E41" t="n">
        <v>32.7616</v>
      </c>
      <c r="F41" t="n">
        <v>543.5121</v>
      </c>
      <c r="G41" t="n">
        <v>0.4507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n">
        <v>2010</v>
      </c>
      <c r="B42" t="inlineStr">
        <is>
          <t>dólares</t>
        </is>
      </c>
      <c r="C42" t="n">
        <v>775.2832000000001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150.6457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n">
        <v>2010</v>
      </c>
      <c r="B43" t="inlineStr">
        <is>
          <t xml:space="preserve">  euros</t>
        </is>
      </c>
      <c r="C43" t="n">
        <v>58.7884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58.7884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n">
        <v>2011</v>
      </c>
      <c r="B44" t="inlineStr">
        <is>
          <t>Total en ARS</t>
        </is>
      </c>
      <c r="C44" t="n">
        <v>6573.0954722058</v>
      </c>
      <c r="D44" t="n">
        <v>2464.0964879</v>
      </c>
      <c r="E44" t="n">
        <v>32.6701</v>
      </c>
      <c r="F44" t="n">
        <v>381.1476</v>
      </c>
      <c r="G44" t="inlineStr">
        <is>
          <t>-</t>
        </is>
      </c>
      <c r="H44" t="n">
        <v>1049.2645259058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n">
        <v>2011</v>
      </c>
      <c r="B45" t="inlineStr">
        <is>
          <t>pesos</t>
        </is>
      </c>
      <c r="C45" t="n">
        <v>2874.3102</v>
      </c>
      <c r="D45" t="n">
        <v>2457.9494</v>
      </c>
      <c r="E45" t="n">
        <v>32.6701</v>
      </c>
      <c r="F45" t="n">
        <v>381.1476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n">
        <v>2011</v>
      </c>
      <c r="B46" t="inlineStr">
        <is>
          <t>dólares</t>
        </is>
      </c>
      <c r="C46" t="n">
        <v>752.5825</v>
      </c>
      <c r="D46" t="n">
        <v>1.4359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n">
        <v>133.6802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n">
        <v>2011</v>
      </c>
      <c r="B47" t="inlineStr">
        <is>
          <t xml:space="preserve">  euros</t>
        </is>
      </c>
      <c r="C47" t="n">
        <v>85.5177</v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n">
        <v>85.5177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n">
        <v>2012</v>
      </c>
      <c r="B48" t="inlineStr">
        <is>
          <t>pesos</t>
        </is>
      </c>
      <c r="C48" t="n">
        <v>11269.585120904</v>
      </c>
      <c r="D48" t="n">
        <v>4146.924304</v>
      </c>
      <c r="E48" t="n">
        <v>32.611</v>
      </c>
      <c r="F48" t="inlineStr">
        <is>
          <t>-</t>
        </is>
      </c>
      <c r="G48" t="inlineStr">
        <is>
          <t>-</t>
        </is>
      </c>
      <c r="H48" t="n">
        <v>1212.343202904</v>
      </c>
      <c r="I48" t="inlineStr">
        <is>
          <t>-</t>
        </is>
      </c>
      <c r="J48" t="n">
        <v>107.2273</v>
      </c>
      <c r="K48" t="inlineStr">
        <is>
          <t>-</t>
        </is>
      </c>
    </row>
    <row r="49">
      <c r="A49" t="n">
        <v>2012</v>
      </c>
      <c r="B49" t="inlineStr">
        <is>
          <t>Total en ARS</t>
        </is>
      </c>
      <c r="C49" t="n">
        <v>4448.012099999999</v>
      </c>
      <c r="D49" t="n">
        <v>4112.6065</v>
      </c>
      <c r="E49" t="n">
        <v>32.611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107.2273</v>
      </c>
      <c r="K49" t="inlineStr">
        <is>
          <t>-</t>
        </is>
      </c>
    </row>
    <row r="50">
      <c r="A50" t="n">
        <v>2012</v>
      </c>
      <c r="B50" t="inlineStr">
        <is>
          <t>dólares</t>
        </is>
      </c>
      <c r="C50" t="n">
        <v>1257.4379</v>
      </c>
      <c r="D50" t="n">
        <v>6.978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n">
        <v>116.8869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n">
        <v>2012</v>
      </c>
      <c r="B51" t="inlineStr">
        <is>
          <t xml:space="preserve">  euros</t>
        </is>
      </c>
      <c r="C51" t="n">
        <v>98.2004</v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n">
        <v>98.2004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n">
        <v>2013</v>
      </c>
      <c r="B52" t="inlineStr">
        <is>
          <t>pesos</t>
        </is>
      </c>
      <c r="C52" t="n">
        <v>17227.3043945</v>
      </c>
      <c r="D52" t="n">
        <v>5387.716885</v>
      </c>
      <c r="E52" t="n">
        <v>32.7004</v>
      </c>
      <c r="F52" t="inlineStr">
        <is>
          <t>-</t>
        </is>
      </c>
      <c r="G52" t="inlineStr">
        <is>
          <t>-</t>
        </is>
      </c>
      <c r="H52" t="n">
        <v>1543.3295595</v>
      </c>
      <c r="I52" t="inlineStr">
        <is>
          <t>-</t>
        </is>
      </c>
      <c r="J52" t="n">
        <v>50.4245</v>
      </c>
      <c r="K52" t="inlineStr">
        <is>
          <t>-</t>
        </is>
      </c>
    </row>
    <row r="53">
      <c r="A53" t="n">
        <v>2013</v>
      </c>
      <c r="B53" t="inlineStr">
        <is>
          <t>Total en ARS</t>
        </is>
      </c>
      <c r="C53" t="n">
        <v>5537.6168</v>
      </c>
      <c r="D53" t="n">
        <v>5352.538</v>
      </c>
      <c r="E53" t="n">
        <v>32.7004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50.4245</v>
      </c>
      <c r="K53" t="inlineStr">
        <is>
          <t>-</t>
        </is>
      </c>
    </row>
    <row r="54">
      <c r="A54" t="n">
        <v>2013</v>
      </c>
      <c r="B54" t="inlineStr">
        <is>
          <t>dólares</t>
        </is>
      </c>
      <c r="C54" t="n">
        <v>1655.3117</v>
      </c>
      <c r="D54" t="n">
        <v>5.3914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n">
        <v>100.3143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n">
        <v>2013</v>
      </c>
      <c r="B55" t="inlineStr">
        <is>
          <t xml:space="preserve">  euros</t>
        </is>
      </c>
      <c r="C55" t="n">
        <v>98.0992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n">
        <v>98.0992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n">
        <v>2014</v>
      </c>
      <c r="B56" t="inlineStr">
        <is>
          <t>Total en ARS</t>
        </is>
      </c>
      <c r="C56" t="n">
        <v>26433.9254386</v>
      </c>
      <c r="D56" t="n">
        <v>8020.386878</v>
      </c>
      <c r="E56" t="n">
        <v>32.7549</v>
      </c>
      <c r="F56" t="n">
        <v>441.4464</v>
      </c>
      <c r="G56" t="inlineStr">
        <is>
          <t>-</t>
        </is>
      </c>
      <c r="H56" t="n">
        <v>1725.1670066</v>
      </c>
      <c r="I56" t="inlineStr">
        <is>
          <t>-</t>
        </is>
      </c>
      <c r="J56" t="n">
        <v>15.721</v>
      </c>
      <c r="K56" t="inlineStr">
        <is>
          <t>-</t>
        </is>
      </c>
    </row>
    <row r="57">
      <c r="A57" t="n">
        <v>2014</v>
      </c>
      <c r="B57" t="inlineStr">
        <is>
          <t>pesos</t>
        </is>
      </c>
      <c r="C57" t="n">
        <v>8858.351199999999</v>
      </c>
      <c r="D57" t="n">
        <v>7994.0669</v>
      </c>
      <c r="E57" t="n">
        <v>32.7549</v>
      </c>
      <c r="F57" t="n">
        <v>441.4464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15.721</v>
      </c>
      <c r="K57" t="inlineStr">
        <is>
          <t>-</t>
        </is>
      </c>
    </row>
    <row r="58">
      <c r="A58" t="n">
        <v>2014</v>
      </c>
      <c r="B58" t="inlineStr">
        <is>
          <t>dólares</t>
        </is>
      </c>
      <c r="C58" t="n">
        <v>1937.3886</v>
      </c>
      <c r="D58" t="n">
        <v>3.078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n">
        <v>83.75660000000001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n">
        <v>2014</v>
      </c>
      <c r="B59" t="inlineStr">
        <is>
          <t xml:space="preserve">  euros</t>
        </is>
      </c>
      <c r="C59" t="n">
        <v>97.0158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n">
        <v>97.0158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n">
        <v>2015</v>
      </c>
      <c r="B60" t="inlineStr">
        <is>
          <t>Total en ARS</t>
        </is>
      </c>
      <c r="C60" t="n">
        <v>42764.078473</v>
      </c>
      <c r="D60" t="n">
        <v>9793.849600000001</v>
      </c>
      <c r="E60" t="n">
        <v>32.83</v>
      </c>
      <c r="F60" t="n">
        <v>2446.01</v>
      </c>
      <c r="G60" t="n">
        <v>0</v>
      </c>
      <c r="H60" t="n">
        <v>2587.404073</v>
      </c>
      <c r="I60" t="n">
        <v>1712.5432</v>
      </c>
      <c r="J60" t="inlineStr">
        <is>
          <t>-</t>
        </is>
      </c>
      <c r="K60" t="inlineStr">
        <is>
          <t>-</t>
        </is>
      </c>
    </row>
    <row r="61">
      <c r="A61" t="n">
        <v>2015</v>
      </c>
      <c r="B61" t="inlineStr">
        <is>
          <t>pesos</t>
        </is>
      </c>
      <c r="C61" t="n">
        <v>13482.36</v>
      </c>
      <c r="D61" t="n">
        <v>9787.460000000001</v>
      </c>
      <c r="E61" t="n">
        <v>32.83</v>
      </c>
      <c r="F61" t="n">
        <v>2446.01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n">
        <v>2015</v>
      </c>
      <c r="B62" t="inlineStr">
        <is>
          <t>dólares</t>
        </is>
      </c>
      <c r="C62" t="n">
        <v>2145.18</v>
      </c>
      <c r="D62" t="n">
        <v>0.49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n">
        <v>98.06999999999999</v>
      </c>
      <c r="I62" t="n">
        <v>131.33</v>
      </c>
      <c r="J62" t="inlineStr">
        <is>
          <t>-</t>
        </is>
      </c>
      <c r="K62" t="inlineStr">
        <is>
          <t>-</t>
        </is>
      </c>
    </row>
    <row r="63">
      <c r="A63" t="n">
        <v>2015</v>
      </c>
      <c r="B63" t="inlineStr">
        <is>
          <t xml:space="preserve">  euros</t>
        </is>
      </c>
      <c r="C63" t="n">
        <v>92.09</v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n">
        <v>92.09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n">
        <v>2016</v>
      </c>
      <c r="B64" t="inlineStr">
        <is>
          <t>Total en ARS</t>
        </is>
      </c>
      <c r="C64" t="n">
        <v>71481.53397400002</v>
      </c>
      <c r="D64" t="n">
        <v>21985.208076</v>
      </c>
      <c r="E64" t="n">
        <v>32.8</v>
      </c>
      <c r="F64" t="n">
        <v>2107.9</v>
      </c>
      <c r="G64" t="inlineStr">
        <is>
          <t>-</t>
        </is>
      </c>
      <c r="H64" t="n">
        <v>3904.2</v>
      </c>
      <c r="I64" t="n">
        <v>2060.8</v>
      </c>
      <c r="J64" t="inlineStr">
        <is>
          <t>-</t>
        </is>
      </c>
      <c r="K64" t="n">
        <v>1960.35</v>
      </c>
    </row>
    <row r="65">
      <c r="A65" t="n">
        <v>2016</v>
      </c>
      <c r="B65" t="inlineStr">
        <is>
          <t>pesos</t>
        </is>
      </c>
      <c r="C65" t="n">
        <v>30608.838</v>
      </c>
      <c r="D65" t="n">
        <v>21982.85</v>
      </c>
      <c r="E65" t="n">
        <v>32.8</v>
      </c>
      <c r="F65" t="n">
        <v>2107.9</v>
      </c>
      <c r="G65" t="inlineStr">
        <is>
          <t>-</t>
        </is>
      </c>
      <c r="H65" t="inlineStr">
        <is>
          <t>-</t>
        </is>
      </c>
      <c r="I65" t="n">
        <v>129.7</v>
      </c>
      <c r="J65" t="inlineStr">
        <is>
          <t>-</t>
        </is>
      </c>
      <c r="K65" t="n">
        <v>1960.35</v>
      </c>
    </row>
    <row r="66">
      <c r="A66" t="n">
        <v>2016</v>
      </c>
      <c r="B66" t="inlineStr">
        <is>
          <t>dólares</t>
        </is>
      </c>
      <c r="C66" t="n">
        <v>2368.0966</v>
      </c>
      <c r="D66" t="n">
        <v>0.1484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n">
        <v>163.1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n">
        <v>2016</v>
      </c>
      <c r="B67" t="inlineStr">
        <is>
          <t xml:space="preserve">  euros</t>
        </is>
      </c>
      <c r="C67" t="n">
        <v>78.3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n">
        <v>78.3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n">
        <v>2017</v>
      </c>
      <c r="B68" t="inlineStr">
        <is>
          <t>Total en ARS</t>
        </is>
      </c>
      <c r="C68" t="n">
        <v>94209.94008099999</v>
      </c>
      <c r="D68" t="n">
        <v>24439.0599</v>
      </c>
      <c r="E68" t="n">
        <v>32.8</v>
      </c>
      <c r="F68" t="n">
        <v>3916.4239</v>
      </c>
      <c r="G68" t="inlineStr">
        <is>
          <t>-</t>
        </is>
      </c>
      <c r="H68" t="n">
        <v>6335.5826</v>
      </c>
      <c r="I68" t="n">
        <v>3943.685381</v>
      </c>
      <c r="J68" t="inlineStr">
        <is>
          <t>-</t>
        </is>
      </c>
      <c r="K68" t="n">
        <v>3284.1278</v>
      </c>
    </row>
    <row r="69">
      <c r="A69" t="n">
        <v>2017</v>
      </c>
      <c r="B69" t="inlineStr">
        <is>
          <t>pesos</t>
        </is>
      </c>
      <c r="C69" t="n">
        <v>54820.3806</v>
      </c>
      <c r="D69" t="n">
        <v>24439.0599</v>
      </c>
      <c r="E69" t="n">
        <v>32.8</v>
      </c>
      <c r="F69" t="n">
        <v>3916.4239</v>
      </c>
      <c r="G69" t="inlineStr">
        <is>
          <t>-</t>
        </is>
      </c>
      <c r="H69" t="n">
        <v>888.7029</v>
      </c>
      <c r="I69" t="inlineStr">
        <is>
          <t>-</t>
        </is>
      </c>
      <c r="J69" t="inlineStr">
        <is>
          <t>-</t>
        </is>
      </c>
      <c r="K69" t="n">
        <v>3284.1278</v>
      </c>
    </row>
    <row r="70">
      <c r="A70" t="n">
        <v>2017</v>
      </c>
      <c r="B70" t="inlineStr">
        <is>
          <t>dólares</t>
        </is>
      </c>
      <c r="C70" t="n">
        <v>2043.4387</v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n">
        <v>223.4101</v>
      </c>
      <c r="I70" t="n">
        <v>211.469</v>
      </c>
      <c r="J70" t="inlineStr">
        <is>
          <t>-</t>
        </is>
      </c>
      <c r="K70" t="inlineStr">
        <is>
          <t>-</t>
        </is>
      </c>
    </row>
    <row r="71">
      <c r="A71" t="n">
        <v>2017</v>
      </c>
      <c r="B71" t="inlineStr">
        <is>
          <t xml:space="preserve">  euros</t>
        </is>
      </c>
      <c r="C71" t="n">
        <v>57.0388</v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n">
        <v>57.0388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n">
        <v>2018</v>
      </c>
      <c r="B72" t="inlineStr">
        <is>
          <t>Total en ARS</t>
        </is>
      </c>
      <c r="C72" t="n">
        <v>146236.786368</v>
      </c>
      <c r="D72" t="n">
        <v>33107.785</v>
      </c>
      <c r="E72" t="n">
        <v>32.9536</v>
      </c>
      <c r="F72" t="inlineStr">
        <is>
          <t>-</t>
        </is>
      </c>
      <c r="G72" t="n">
        <v>1588.367468</v>
      </c>
      <c r="H72" t="n">
        <v>15039.0281</v>
      </c>
      <c r="I72" t="n">
        <v>7987.725200000001</v>
      </c>
      <c r="J72" t="inlineStr">
        <is>
          <t>-</t>
        </is>
      </c>
      <c r="K72" t="n">
        <v>4879.626</v>
      </c>
    </row>
    <row r="73">
      <c r="A73" t="n">
        <v>2018</v>
      </c>
      <c r="B73" t="inlineStr">
        <is>
          <t>pesos</t>
        </is>
      </c>
      <c r="C73" t="n">
        <v>67192.66129999999</v>
      </c>
      <c r="D73" t="n">
        <v>33063.0315</v>
      </c>
      <c r="E73" t="n">
        <v>32.9536</v>
      </c>
      <c r="F73" t="inlineStr">
        <is>
          <t>-</t>
        </is>
      </c>
      <c r="G73" t="inlineStr">
        <is>
          <t>-</t>
        </is>
      </c>
      <c r="H73" t="n">
        <v>912.6879</v>
      </c>
      <c r="I73" t="inlineStr">
        <is>
          <t>-</t>
        </is>
      </c>
      <c r="J73" t="inlineStr">
        <is>
          <t>-</t>
        </is>
      </c>
      <c r="K73" t="n">
        <v>4879.626</v>
      </c>
    </row>
    <row r="74">
      <c r="A74" t="n">
        <v>2018</v>
      </c>
      <c r="B74" t="inlineStr">
        <is>
          <t>dólares</t>
        </is>
      </c>
      <c r="C74" t="n">
        <v>2021.92059</v>
      </c>
      <c r="D74" t="n">
        <v>1.18663</v>
      </c>
      <c r="E74" t="inlineStr">
        <is>
          <t>-</t>
        </is>
      </c>
      <c r="F74" t="inlineStr">
        <is>
          <t>-</t>
        </is>
      </c>
      <c r="G74" t="n">
        <v>6.04966</v>
      </c>
      <c r="H74" t="n">
        <v>335.9978</v>
      </c>
      <c r="I74" t="n">
        <v>211.876</v>
      </c>
      <c r="J74" t="inlineStr">
        <is>
          <t>-</t>
        </is>
      </c>
      <c r="K74" t="inlineStr">
        <is>
          <t>-</t>
        </is>
      </c>
    </row>
    <row r="75">
      <c r="A75" t="n">
        <v>2018</v>
      </c>
      <c r="B75" t="inlineStr">
        <is>
          <t xml:space="preserve">  euros</t>
        </is>
      </c>
      <c r="C75" t="n">
        <v>33.8075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33.8075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n">
        <v>2018</v>
      </c>
      <c r="B76" t="inlineStr">
        <is>
          <t>UVAs</t>
        </is>
      </c>
      <c r="C76" t="n">
        <v>43.7958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n">
        <v>43.7958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n">
        <v>2019</v>
      </c>
      <c r="B77" t="inlineStr">
        <is>
          <t>Total en ARS</t>
        </is>
      </c>
      <c r="C77" t="n">
        <v>226096.417675</v>
      </c>
      <c r="D77" t="n">
        <v>43502.43257</v>
      </c>
      <c r="E77" t="n">
        <v>32.9536</v>
      </c>
      <c r="F77" t="inlineStr">
        <is>
          <t>-</t>
        </is>
      </c>
      <c r="G77" t="n">
        <v>1538.1574</v>
      </c>
      <c r="H77" t="n">
        <v>38754.107734</v>
      </c>
      <c r="I77" t="n">
        <v>11654.659879</v>
      </c>
      <c r="J77" t="inlineStr">
        <is>
          <t>-</t>
        </is>
      </c>
      <c r="K77" t="n">
        <v>7766.6479</v>
      </c>
    </row>
    <row r="78">
      <c r="A78" t="n">
        <v>2019</v>
      </c>
      <c r="B78" t="inlineStr">
        <is>
          <t>pesos</t>
        </is>
      </c>
      <c r="C78" t="n">
        <v>99971.78389999999</v>
      </c>
      <c r="D78" t="n">
        <v>43464.5338</v>
      </c>
      <c r="E78" t="n">
        <v>32.9536</v>
      </c>
      <c r="F78" t="inlineStr">
        <is>
          <t>-</t>
        </is>
      </c>
      <c r="G78" t="inlineStr">
        <is>
          <t>-</t>
        </is>
      </c>
      <c r="H78" t="n">
        <v>924.687</v>
      </c>
      <c r="I78" t="inlineStr">
        <is>
          <t>-</t>
        </is>
      </c>
      <c r="J78" t="inlineStr">
        <is>
          <t>-</t>
        </is>
      </c>
      <c r="K78" t="n">
        <v>7766.6479</v>
      </c>
    </row>
    <row r="79">
      <c r="A79" t="n">
        <v>2019</v>
      </c>
      <c r="B79" t="inlineStr">
        <is>
          <t>dólares</t>
        </is>
      </c>
      <c r="C79" t="n">
        <v>2064.4822</v>
      </c>
      <c r="D79" t="n">
        <v>0.6193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n">
        <v>615.889</v>
      </c>
      <c r="I79" t="n">
        <v>194.6011</v>
      </c>
      <c r="J79" t="inlineStr">
        <is>
          <t>-</t>
        </is>
      </c>
      <c r="K79" t="inlineStr">
        <is>
          <t>-</t>
        </is>
      </c>
    </row>
    <row r="80">
      <c r="A80" t="n">
        <v>2019</v>
      </c>
      <c r="B80" t="inlineStr">
        <is>
          <t xml:space="preserve">  euros</t>
        </is>
      </c>
      <c r="C80" t="n">
        <v>14.0388</v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n">
        <v>14.0388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n">
        <v>2019</v>
      </c>
      <c r="B81" t="inlineStr">
        <is>
          <t>UVAs</t>
        </is>
      </c>
      <c r="C81" t="n">
        <v>32.6</v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n">
        <v>32.6157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n">
        <v>2020</v>
      </c>
      <c r="B82" t="inlineStr">
        <is>
          <t>Total en ARS</t>
        </is>
      </c>
      <c r="C82" t="n">
        <v>324857.847785</v>
      </c>
      <c r="D82" t="n">
        <v>61308.9274</v>
      </c>
      <c r="E82" t="inlineStr">
        <is>
          <t>-</t>
        </is>
      </c>
      <c r="F82" t="inlineStr">
        <is>
          <t>-</t>
        </is>
      </c>
      <c r="G82" t="n">
        <v>1986.75</v>
      </c>
      <c r="H82" t="n">
        <v>60431.68885500001</v>
      </c>
      <c r="I82" t="n">
        <v>15039.67509</v>
      </c>
      <c r="J82" t="inlineStr">
        <is>
          <t>-</t>
        </is>
      </c>
      <c r="K82" t="n">
        <v>7939.8011</v>
      </c>
    </row>
    <row r="83">
      <c r="A83" t="n">
        <v>2020</v>
      </c>
      <c r="B83" t="inlineStr">
        <is>
          <t>pesos</t>
        </is>
      </c>
      <c r="C83" t="n">
        <v>158134.0172</v>
      </c>
      <c r="D83" t="n">
        <v>61308.9274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897.1038</v>
      </c>
      <c r="I83" t="inlineStr">
        <is>
          <t>-</t>
        </is>
      </c>
      <c r="J83" t="inlineStr">
        <is>
          <t>-</t>
        </is>
      </c>
      <c r="K83" t="n">
        <v>7939.8011</v>
      </c>
    </row>
    <row r="84">
      <c r="A84" t="n">
        <v>2020</v>
      </c>
      <c r="B84" t="inlineStr">
        <is>
          <t>dólares</t>
        </is>
      </c>
      <c r="C84" t="n">
        <v>1957.6599</v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n">
        <v>707.4817</v>
      </c>
      <c r="I84" t="n">
        <v>178.7246</v>
      </c>
      <c r="J84" t="inlineStr">
        <is>
          <t>-</t>
        </is>
      </c>
      <c r="K84" t="inlineStr">
        <is>
          <t>-</t>
        </is>
      </c>
    </row>
    <row r="85">
      <c r="A85" t="n">
        <v>2020</v>
      </c>
      <c r="B85" t="inlineStr">
        <is>
          <t xml:space="preserve">  euros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n">
        <v>2020</v>
      </c>
      <c r="B86" t="inlineStr">
        <is>
          <t>UVAs</t>
        </is>
      </c>
      <c r="C86" t="n">
        <v>30.8885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n">
        <v>30.8885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n">
        <v>2021</v>
      </c>
      <c r="B87" t="inlineStr">
        <is>
          <t>Total en ARS</t>
        </is>
      </c>
      <c r="C87" t="n">
        <v>271752.91561</v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2858.11561</v>
      </c>
      <c r="H87" t="n">
        <v>65295.3</v>
      </c>
      <c r="I87" t="inlineStr">
        <is>
          <t>-</t>
        </is>
      </c>
      <c r="J87" t="inlineStr">
        <is>
          <t>-</t>
        </is>
      </c>
      <c r="K87" t="n">
        <v>7608.2</v>
      </c>
    </row>
    <row r="88">
      <c r="A88" t="n">
        <v>2021</v>
      </c>
      <c r="B88" t="inlineStr">
        <is>
          <t>pesos</t>
        </is>
      </c>
      <c r="C88" t="n">
        <v>108562.8</v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n">
        <v>860.8</v>
      </c>
      <c r="I88" t="inlineStr">
        <is>
          <t>-</t>
        </is>
      </c>
      <c r="J88" t="inlineStr">
        <is>
          <t>-</t>
        </is>
      </c>
      <c r="K88" t="n">
        <v>7608.2</v>
      </c>
    </row>
    <row r="89">
      <c r="A89" t="n">
        <v>2021</v>
      </c>
      <c r="B89" t="inlineStr">
        <is>
          <t>dólares</t>
        </is>
      </c>
      <c r="C89" t="n">
        <v>1488</v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598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n">
        <v>2021</v>
      </c>
      <c r="B90" t="inlineStr">
        <is>
          <t xml:space="preserve">  euros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n">
        <v>2021</v>
      </c>
      <c r="B91" t="inlineStr">
        <is>
          <t>UVAs</t>
        </is>
      </c>
      <c r="C91" t="n">
        <v>29.311</v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29.311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n">
        <v>2022</v>
      </c>
      <c r="B92" t="inlineStr">
        <is>
          <t>Total en ARS</t>
        </is>
      </c>
      <c r="C92" t="n">
        <v>363796.564</v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n">
        <v>5133.364</v>
      </c>
      <c r="H92" t="n">
        <v>116200.7</v>
      </c>
      <c r="I92" t="inlineStr">
        <is>
          <t>-</t>
        </is>
      </c>
      <c r="J92" t="inlineStr">
        <is>
          <t>-</t>
        </is>
      </c>
      <c r="K92" t="n">
        <v>2733.9</v>
      </c>
    </row>
    <row r="93">
      <c r="A93" t="n">
        <v>2022</v>
      </c>
      <c r="B93" t="inlineStr">
        <is>
          <t>pesos</t>
        </is>
      </c>
      <c r="C93" t="n">
        <v>80123.2</v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n">
        <v>753.2</v>
      </c>
      <c r="I93" t="inlineStr">
        <is>
          <t>-</t>
        </is>
      </c>
      <c r="J93" t="inlineStr">
        <is>
          <t>-</t>
        </is>
      </c>
      <c r="K93" t="n">
        <v>2733.9</v>
      </c>
    </row>
    <row r="94">
      <c r="A94" t="n">
        <v>2022</v>
      </c>
      <c r="B94" t="inlineStr">
        <is>
          <t>dólares</t>
        </is>
      </c>
      <c r="C94" t="n">
        <v>1520</v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n">
        <v>630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n">
        <v>2022</v>
      </c>
      <c r="B95" t="inlineStr">
        <is>
          <t xml:space="preserve">  euros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n">
        <v>2022</v>
      </c>
      <c r="B96" t="inlineStr">
        <is>
          <t>UVAs</t>
        </is>
      </c>
      <c r="C96" t="n">
        <v>27.7</v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n">
        <v>27.7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n">
        <v>2023</v>
      </c>
      <c r="B97" t="inlineStr">
        <is>
          <t>Total en ARS</t>
        </is>
      </c>
      <c r="C97" t="n">
        <v>1336868.4</v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n">
        <v>538038.4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n">
        <v>2023</v>
      </c>
      <c r="B98" t="inlineStr">
        <is>
          <t>pesos</t>
        </is>
      </c>
      <c r="C98" t="n">
        <v>62225.5</v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n">
        <v>538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n">
        <v>2023</v>
      </c>
      <c r="B99" t="inlineStr">
        <is>
          <t>dólares</t>
        </is>
      </c>
      <c r="C99" t="n">
        <v>1539</v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n">
        <v>649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n">
        <v>2023</v>
      </c>
      <c r="B100" t="inlineStr">
        <is>
          <t xml:space="preserve">  euros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n">
        <v>2023</v>
      </c>
      <c r="B101" t="inlineStr">
        <is>
          <t>UVAs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n">
        <v>2024</v>
      </c>
      <c r="B102" t="inlineStr">
        <is>
          <t>Total en ARS</t>
        </is>
      </c>
      <c r="C102" t="n">
        <v>1618579.4</v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n">
        <v>646170.1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n">
        <v>2024</v>
      </c>
      <c r="B103" t="inlineStr">
        <is>
          <t>pesos</t>
        </is>
      </c>
      <c r="C103" t="n">
        <v>36007.10000000001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n">
        <v>322.8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n">
        <v>2024</v>
      </c>
      <c r="B104" t="inlineStr">
        <is>
          <t>dólares</t>
        </is>
      </c>
      <c r="C104" t="n">
        <v>1503.6</v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n">
        <v>613.6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n">
        <v>2024</v>
      </c>
      <c r="B105" t="inlineStr">
        <is>
          <t xml:space="preserve">  euros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n">
        <v>2024</v>
      </c>
      <c r="B106" t="inlineStr">
        <is>
          <t>UVAs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946"/>
  <sheetViews>
    <sheetView tabSelected="1" zoomScale="90" zoomScaleNormal="90" workbookViewId="0">
      <selection activeCell="I14" sqref="I14"/>
    </sheetView>
  </sheetViews>
  <sheetFormatPr baseColWidth="10" defaultRowHeight="14.4"/>
  <cols>
    <col width="11.6640625" bestFit="1" customWidth="1" min="1" max="2"/>
    <col width="32.21875" bestFit="1" customWidth="1" min="3" max="3"/>
    <col width="12" bestFit="1" customWidth="1" min="4" max="4"/>
    <col width="17.109375" bestFit="1" customWidth="1" min="15" max="15"/>
    <col width="21.21875" bestFit="1" customWidth="1" min="16" max="16"/>
    <col width="19.44140625" bestFit="1" customWidth="1" min="17" max="17"/>
    <col width="17" bestFit="1" customWidth="1" min="18" max="18"/>
    <col width="19.88671875" bestFit="1" customWidth="1" min="19" max="19"/>
    <col width="17.44140625" bestFit="1" customWidth="1" min="20" max="20"/>
    <col width="20.44140625" bestFit="1" customWidth="1" min="21" max="21"/>
    <col width="19.44140625" bestFit="1" customWidth="1" min="22" max="22"/>
    <col width="22.33203125" bestFit="1" customWidth="1" min="23" max="23"/>
    <col width="28.88671875" bestFit="1" customWidth="1" min="24" max="24"/>
    <col width="31.77734375" bestFit="1" customWidth="1" min="25" max="25"/>
    <col width="35" bestFit="1" customWidth="1" min="26" max="26"/>
    <col width="37.88671875" bestFit="1" customWidth="1" min="27" max="27"/>
    <col width="25.33203125" bestFit="1" customWidth="1" min="28" max="28"/>
    <col width="28.21875" bestFit="1" customWidth="1" min="29" max="29"/>
    <col width="25" bestFit="1" customWidth="1" min="30" max="30"/>
    <col width="27.88671875" bestFit="1" customWidth="1" min="31" max="31"/>
    <col width="15.77734375" bestFit="1" customWidth="1" min="32" max="32"/>
    <col width="18.6640625" bestFit="1" customWidth="1" min="33" max="33"/>
    <col width="12" bestFit="1" customWidth="1" min="34" max="34"/>
    <col width="5.33203125" bestFit="1" customWidth="1" min="35" max="35"/>
    <col width="20.44140625" bestFit="1" customWidth="1" min="36" max="36"/>
    <col width="19.44140625" bestFit="1" customWidth="1" min="37" max="37"/>
    <col width="9" bestFit="1" customWidth="1" min="38" max="38"/>
    <col width="6" bestFit="1" customWidth="1" min="39" max="39"/>
    <col width="12" bestFit="1" customWidth="1" min="40" max="41"/>
    <col width="5.33203125" bestFit="1" customWidth="1" min="42" max="42"/>
    <col width="22.33203125" bestFit="1" customWidth="1" min="43" max="43"/>
    <col width="28.88671875" bestFit="1" customWidth="1" min="44" max="44"/>
    <col width="7.21875" bestFit="1" customWidth="1" min="45" max="45"/>
    <col width="5.44140625" bestFit="1" customWidth="1" min="46" max="46"/>
    <col width="12" bestFit="1" customWidth="1" min="47" max="48"/>
    <col width="5.33203125" bestFit="1" customWidth="1" min="49" max="49"/>
    <col width="31.77734375" bestFit="1" customWidth="1" min="50" max="50"/>
    <col width="35" bestFit="1" customWidth="1" min="51" max="51"/>
    <col width="9" bestFit="1" customWidth="1" min="52" max="52"/>
    <col width="7" bestFit="1" customWidth="1" min="53" max="53"/>
    <col width="12" bestFit="1" customWidth="1" min="54" max="55"/>
    <col width="5.33203125" bestFit="1" customWidth="1" min="56" max="56"/>
    <col width="37.88671875" bestFit="1" customWidth="1" min="57" max="57"/>
    <col width="25.33203125" bestFit="1" customWidth="1" min="58" max="58"/>
    <col width="7.21875" bestFit="1" customWidth="1" min="59" max="59"/>
    <col width="5.44140625" bestFit="1" customWidth="1" min="60" max="60"/>
    <col width="12" bestFit="1" customWidth="1" min="61" max="62"/>
    <col width="5.33203125" bestFit="1" customWidth="1" min="63" max="63"/>
    <col width="28.21875" bestFit="1" customWidth="1" min="64" max="64"/>
    <col width="25" bestFit="1" customWidth="1" min="65" max="65"/>
    <col width="12" bestFit="1" customWidth="1" min="66" max="66"/>
    <col width="9" bestFit="1" customWidth="1" min="67" max="67"/>
    <col width="12" bestFit="1" customWidth="1" min="68" max="69"/>
    <col width="9" bestFit="1" customWidth="1" min="70" max="70"/>
    <col width="27.88671875" bestFit="1" customWidth="1" min="71" max="71"/>
    <col width="15.77734375" bestFit="1" customWidth="1" min="72" max="72"/>
    <col width="7.21875" bestFit="1" customWidth="1" min="73" max="73"/>
    <col width="5.44140625" bestFit="1" customWidth="1" min="74" max="74"/>
    <col width="12" bestFit="1" customWidth="1" min="75" max="76"/>
    <col width="5.33203125" bestFit="1" customWidth="1" min="77" max="77"/>
    <col width="18.6640625" bestFit="1" customWidth="1" min="78" max="78"/>
    <col width="12" bestFit="1" customWidth="1" min="79" max="79"/>
  </cols>
  <sheetData>
    <row r="1">
      <c r="A1" t="inlineStr">
        <is>
          <t>añpo</t>
        </is>
      </c>
      <c r="B1" t="inlineStr">
        <is>
          <t>moneda</t>
        </is>
      </c>
      <c r="C1" t="inlineStr">
        <is>
          <t>Atributo</t>
        </is>
      </c>
      <c r="D1" t="inlineStr">
        <is>
          <t>Valor</t>
        </is>
      </c>
      <c r="E1" t="inlineStr">
        <is>
          <t>Constante</t>
        </is>
      </c>
      <c r="H1" t="inlineStr">
        <is>
          <t>Total en ARS</t>
        </is>
      </c>
      <c r="I1" t="inlineStr">
        <is>
          <t>pesos</t>
        </is>
      </c>
      <c r="J1" t="inlineStr">
        <is>
          <t>dólares</t>
        </is>
      </c>
      <c r="K1" t="inlineStr">
        <is>
          <t>euros</t>
        </is>
      </c>
      <c r="L1" t="inlineStr">
        <is>
          <t xml:space="preserve">  euros</t>
        </is>
      </c>
      <c r="M1" t="inlineStr">
        <is>
          <t>UVAs</t>
        </is>
      </c>
    </row>
    <row r="2">
      <c r="A2" t="n">
        <v>1996</v>
      </c>
      <c r="B2" t="inlineStr">
        <is>
          <t>Total en ARS</t>
        </is>
      </c>
      <c r="C2" t="inlineStr">
        <is>
          <t>Proveedores y Contratistas</t>
        </is>
      </c>
      <c r="D2" t="n">
        <v>1000.6</v>
      </c>
      <c r="E2">
        <f>IF(OR(Tabla3_1[[#This Row],[moneda]]="Total en ARS",Tabla3_1[[#This Row],[moneda]]="pesos"),Tabla3_1[[#This Row],[Valor]]*VLOOKUP(Tabla3_1[[#This Row],[añpo]],ipc!$A:$D,4,FALSE),Tabla3_1[[#This Row],[Valor]])</f>
        <v/>
      </c>
      <c r="G2" t="n">
        <v>1996</v>
      </c>
      <c r="H2" s="36">
        <f>SUMIFS($E:$E,$A:$A,$G2,$B:$B,H$1)</f>
        <v/>
      </c>
      <c r="I2" s="36">
        <f>SUMIFS($E:$E,$A:$A,$G2,$B:$B,I$1)</f>
        <v/>
      </c>
      <c r="J2" s="36">
        <f>SUMIFS($E:$E,$A:$A,$G2,$B:$B,J$1)</f>
        <v/>
      </c>
      <c r="K2" s="36">
        <f>SUMIFS($E:$E,$A:$A,$G2,$B:$B,K$1)</f>
        <v/>
      </c>
      <c r="L2" s="36">
        <f>SUMIFS($E:$E,$A:$A,$G2,$B:$B,L$1)</f>
        <v/>
      </c>
      <c r="M2" s="36">
        <f>SUMIFS($E:$E,$A:$A,$G2,$B:$B,M$1)</f>
        <v/>
      </c>
      <c r="N2" s="36" t="n"/>
      <c r="O2" s="47" t="inlineStr">
        <is>
          <t>Suma de Constante</t>
        </is>
      </c>
      <c r="P2" s="47" t="inlineStr">
        <is>
          <t>Etiquetas de columna</t>
        </is>
      </c>
    </row>
    <row r="3">
      <c r="A3" t="n">
        <v>1996</v>
      </c>
      <c r="B3" t="inlineStr">
        <is>
          <t>Total en ARS</t>
        </is>
      </c>
      <c r="C3" t="inlineStr">
        <is>
          <t>Deuda previsional</t>
        </is>
      </c>
      <c r="D3" t="n">
        <v>481.3</v>
      </c>
      <c r="E3">
        <f>IF(OR(Tabla3_1[[#This Row],[moneda]]="Total en ARS",Tabla3_1[[#This Row],[moneda]]="pesos"),Tabla3_1[[#This Row],[Valor]]*VLOOKUP(Tabla3_1[[#This Row],[añpo]],ipc!$A:$D,4,FALSE),Tabla3_1[[#This Row],[Valor]])</f>
        <v/>
      </c>
      <c r="G3" t="n">
        <v>1997</v>
      </c>
      <c r="H3" s="36">
        <f>SUMIFS($E:$E,$A:$A,$G3,$B:$B,H$1)</f>
        <v/>
      </c>
      <c r="I3" s="36">
        <f>SUMIFS($E:$E,$A:$A,$G3,$B:$B,I$1)</f>
        <v/>
      </c>
      <c r="J3" s="36">
        <f>SUMIFS($E:$E,$A:$A,$G3,$B:$B,J$1)</f>
        <v/>
      </c>
      <c r="K3" s="36">
        <f>SUMIFS($E:$E,$A:$A,$G3,$B:$B,K$1)</f>
        <v/>
      </c>
      <c r="L3" s="36">
        <f>SUMIFS($E:$E,$A:$A,$G3,$B:$B,L$1)</f>
        <v/>
      </c>
      <c r="M3" s="36">
        <f>SUMIFS($E:$E,$A:$A,$G3,$B:$B,M$1)</f>
        <v/>
      </c>
      <c r="N3" s="36" t="n"/>
      <c r="P3" t="inlineStr">
        <is>
          <t>Acuerdo OSPLAD</t>
        </is>
      </c>
      <c r="Q3" t="inlineStr">
        <is>
          <t>Total Acuerdo OSPLAD</t>
        </is>
      </c>
      <c r="R3" t="inlineStr">
        <is>
          <t xml:space="preserve">Deuda financiera </t>
        </is>
      </c>
      <c r="S3" t="inlineStr">
        <is>
          <t xml:space="preserve">Total Deuda financiera </t>
        </is>
      </c>
      <c r="T3" t="inlineStr">
        <is>
          <t>Deuda previsional</t>
        </is>
      </c>
      <c r="U3" t="inlineStr">
        <is>
          <t>Total Deuda previsional</t>
        </is>
      </c>
      <c r="V3" t="inlineStr">
        <is>
          <t>Garantías y/o avales</t>
        </is>
      </c>
      <c r="W3" t="inlineStr">
        <is>
          <t>Total Garantías y/o avales</t>
        </is>
      </c>
      <c r="X3" t="inlineStr">
        <is>
          <t>Letras del Tesoro Ley 3395 art. 2</t>
        </is>
      </c>
      <c r="Y3" t="inlineStr">
        <is>
          <t>Total Letras del Tesoro Ley 3395 art. 2</t>
        </is>
      </c>
      <c r="Z3" t="inlineStr">
        <is>
          <t>Organismos internacionales de crédito</t>
        </is>
      </c>
      <c r="AA3" t="inlineStr">
        <is>
          <t>Total Organismos internacionales de crédito</t>
        </is>
      </c>
      <c r="AB3" t="inlineStr">
        <is>
          <t>Préstamo ANSES - Ley 5603</t>
        </is>
      </c>
      <c r="AC3" t="inlineStr">
        <is>
          <t>Total Préstamo ANSES - Ley 5603</t>
        </is>
      </c>
      <c r="AD3" t="inlineStr">
        <is>
          <t>Proveedores y Contratistas</t>
        </is>
      </c>
      <c r="AE3" t="inlineStr">
        <is>
          <t>Total Proveedores y Contratistas</t>
        </is>
      </c>
      <c r="AF3" t="inlineStr">
        <is>
          <t>Títulos públicos</t>
        </is>
      </c>
      <c r="AG3" t="inlineStr">
        <is>
          <t>Total Títulos públicos</t>
        </is>
      </c>
      <c r="AH3" t="inlineStr">
        <is>
          <t>Total general</t>
        </is>
      </c>
    </row>
    <row r="4">
      <c r="A4" t="n">
        <v>1996</v>
      </c>
      <c r="B4" t="inlineStr">
        <is>
          <t>Total en ARS</t>
        </is>
      </c>
      <c r="C4" t="inlineStr">
        <is>
          <t>Títulos públicos</t>
        </is>
      </c>
      <c r="E4">
        <f>IF(OR(Tabla3_1[[#This Row],[moneda]]="Total en ARS",Tabla3_1[[#This Row],[moneda]]="pesos"),Tabla3_1[[#This Row],[Valor]]*VLOOKUP(Tabla3_1[[#This Row],[añpo]],ipc!$A:$D,4,FALSE),Tabla3_1[[#This Row],[Valor]])</f>
        <v/>
      </c>
      <c r="G4" t="n">
        <v>1998</v>
      </c>
      <c r="H4" s="36">
        <f>SUMIFS($E:$E,$A:$A,$G4,$B:$B,H$1)</f>
        <v/>
      </c>
      <c r="I4" s="36">
        <f>SUMIFS($E:$E,$A:$A,$G4,$B:$B,I$1)</f>
        <v/>
      </c>
      <c r="J4" s="36">
        <f>SUMIFS($E:$E,$A:$A,$G4,$B:$B,J$1)</f>
        <v/>
      </c>
      <c r="K4" s="36">
        <f>SUMIFS($E:$E,$A:$A,$G4,$B:$B,K$1)</f>
        <v/>
      </c>
      <c r="L4" s="36">
        <f>SUMIFS($E:$E,$A:$A,$G4,$B:$B,L$1)</f>
        <v/>
      </c>
      <c r="M4" s="36">
        <f>SUMIFS($E:$E,$A:$A,$G4,$B:$B,M$1)</f>
        <v/>
      </c>
      <c r="N4" s="36" t="n"/>
      <c r="O4" s="47" t="inlineStr">
        <is>
          <t>Etiquetas de fila</t>
        </is>
      </c>
      <c r="P4" t="inlineStr">
        <is>
          <t>Total en ARS</t>
        </is>
      </c>
      <c r="R4" t="inlineStr">
        <is>
          <t>Total en ARS</t>
        </is>
      </c>
      <c r="T4" t="inlineStr">
        <is>
          <t>Total en ARS</t>
        </is>
      </c>
      <c r="V4" t="inlineStr">
        <is>
          <t>Total en ARS</t>
        </is>
      </c>
      <c r="X4" t="inlineStr">
        <is>
          <t>Total en ARS</t>
        </is>
      </c>
      <c r="Z4" t="inlineStr">
        <is>
          <t>Total en ARS</t>
        </is>
      </c>
      <c r="AB4" t="inlineStr">
        <is>
          <t>Total en ARS</t>
        </is>
      </c>
      <c r="AD4" t="inlineStr">
        <is>
          <t>Total en ARS</t>
        </is>
      </c>
      <c r="AF4" t="inlineStr">
        <is>
          <t>Total en ARS</t>
        </is>
      </c>
    </row>
    <row r="5">
      <c r="A5" t="n">
        <v>1996</v>
      </c>
      <c r="B5" t="inlineStr">
        <is>
          <t>Total en ARS</t>
        </is>
      </c>
      <c r="C5" t="inlineStr">
        <is>
          <t>Letras del Tesoro Ley 3395 art. 2</t>
        </is>
      </c>
      <c r="E5">
        <f>IF(OR(Tabla3_1[[#This Row],[moneda]]="Total en ARS",Tabla3_1[[#This Row],[moneda]]="pesos"),Tabla3_1[[#This Row],[Valor]]*VLOOKUP(Tabla3_1[[#This Row],[añpo]],ipc!$A:$D,4,FALSE),Tabla3_1[[#This Row],[Valor]])</f>
        <v/>
      </c>
      <c r="G5" t="n">
        <v>1999</v>
      </c>
      <c r="H5" s="36">
        <f>SUMIFS($E:$E,$A:$A,$G5,$B:$B,H$1)</f>
        <v/>
      </c>
      <c r="I5" s="36">
        <f>SUMIFS($E:$E,$A:$A,$G5,$B:$B,I$1)</f>
        <v/>
      </c>
      <c r="J5" s="36">
        <f>SUMIFS($E:$E,$A:$A,$G5,$B:$B,J$1)</f>
        <v/>
      </c>
      <c r="K5" s="36">
        <f>SUMIFS($E:$E,$A:$A,$G5,$B:$B,K$1)</f>
        <v/>
      </c>
      <c r="L5" s="36">
        <f>SUMIFS($E:$E,$A:$A,$G5,$B:$B,L$1)</f>
        <v/>
      </c>
      <c r="M5" s="36">
        <f>SUMIFS($E:$E,$A:$A,$G5,$B:$B,M$1)</f>
        <v/>
      </c>
      <c r="N5" s="36" t="n"/>
      <c r="O5" s="48" t="n">
        <v>1996</v>
      </c>
      <c r="P5" t="n">
        <v>0</v>
      </c>
      <c r="Q5" t="n">
        <v>0</v>
      </c>
      <c r="R5" t="n">
        <v>749329.2433293125</v>
      </c>
      <c r="S5" t="n">
        <v>749329.2433293125</v>
      </c>
      <c r="T5" t="n">
        <v>726974.7325426287</v>
      </c>
      <c r="U5" t="n">
        <v>726974.7325426287</v>
      </c>
      <c r="V5" t="n">
        <v>0</v>
      </c>
      <c r="W5" t="n">
        <v>0</v>
      </c>
      <c r="X5" t="n">
        <v>0</v>
      </c>
      <c r="Y5" t="n">
        <v>0</v>
      </c>
      <c r="Z5" t="n">
        <v>35042.20609804484</v>
      </c>
      <c r="AA5" t="n">
        <v>35042.20609804484</v>
      </c>
      <c r="AB5" t="n">
        <v>0</v>
      </c>
      <c r="AC5" t="n">
        <v>0</v>
      </c>
      <c r="AD5" t="n">
        <v>1511346.181969986</v>
      </c>
      <c r="AE5" t="n">
        <v>1511346.181969986</v>
      </c>
      <c r="AF5" t="n">
        <v>0</v>
      </c>
      <c r="AG5" t="n">
        <v>0</v>
      </c>
      <c r="AH5" t="n">
        <v>3022692.363939972</v>
      </c>
    </row>
    <row r="6">
      <c r="A6" t="n">
        <v>1996</v>
      </c>
      <c r="B6" t="inlineStr">
        <is>
          <t>Total en ARS</t>
        </is>
      </c>
      <c r="C6" t="inlineStr">
        <is>
          <t xml:space="preserve">Deuda financiera </t>
        </is>
      </c>
      <c r="D6" t="n">
        <v>496.1</v>
      </c>
      <c r="E6">
        <f>IF(OR(Tabla3_1[[#This Row],[moneda]]="Total en ARS",Tabla3_1[[#This Row],[moneda]]="pesos"),Tabla3_1[[#This Row],[Valor]]*VLOOKUP(Tabla3_1[[#This Row],[añpo]],ipc!$A:$D,4,FALSE),Tabla3_1[[#This Row],[Valor]])</f>
        <v/>
      </c>
      <c r="G6" t="n">
        <v>2000</v>
      </c>
      <c r="H6" s="36">
        <f>SUMIFS($E:$E,$A:$A,$G6,$B:$B,H$1)</f>
        <v/>
      </c>
      <c r="I6" s="36">
        <f>SUMIFS($E:$E,$A:$A,$G6,$B:$B,I$1)</f>
        <v/>
      </c>
      <c r="J6" s="36">
        <f>SUMIFS($E:$E,$A:$A,$G6,$B:$B,J$1)</f>
        <v/>
      </c>
      <c r="K6" s="36">
        <f>SUMIFS($E:$E,$A:$A,$G6,$B:$B,K$1)</f>
        <v/>
      </c>
      <c r="L6" s="36">
        <f>SUMIFS($E:$E,$A:$A,$G6,$B:$B,L$1)</f>
        <v/>
      </c>
      <c r="M6" s="36">
        <f>SUMIFS($E:$E,$A:$A,$G6,$B:$B,M$1)</f>
        <v/>
      </c>
      <c r="N6" s="36" t="n"/>
      <c r="O6" s="48" t="n">
        <v>1997</v>
      </c>
      <c r="P6" t="n">
        <v>0</v>
      </c>
      <c r="Q6" t="n">
        <v>0</v>
      </c>
      <c r="R6" t="n">
        <v>340393.9836660465</v>
      </c>
      <c r="S6" t="n">
        <v>340393.9836660465</v>
      </c>
      <c r="T6" t="n">
        <v>633214.10672242</v>
      </c>
      <c r="U6" t="n">
        <v>633214.10672242</v>
      </c>
      <c r="V6" t="n">
        <v>0</v>
      </c>
      <c r="W6" t="n">
        <v>0</v>
      </c>
      <c r="X6" t="n">
        <v>0</v>
      </c>
      <c r="Y6" t="n">
        <v>0</v>
      </c>
      <c r="Z6" t="n">
        <v>28905.63682613044</v>
      </c>
      <c r="AA6" t="n">
        <v>28905.63682613044</v>
      </c>
      <c r="AB6" t="n">
        <v>0</v>
      </c>
      <c r="AC6" t="n">
        <v>0</v>
      </c>
      <c r="AD6" t="n">
        <v>1749543.778939905</v>
      </c>
      <c r="AE6" t="n">
        <v>1749543.778939905</v>
      </c>
      <c r="AF6" t="n">
        <v>0</v>
      </c>
      <c r="AG6" t="n">
        <v>0</v>
      </c>
      <c r="AH6" t="n">
        <v>2752057.506154502</v>
      </c>
    </row>
    <row r="7">
      <c r="A7" t="n">
        <v>1996</v>
      </c>
      <c r="B7" t="inlineStr">
        <is>
          <t>Total en ARS</t>
        </is>
      </c>
      <c r="C7" t="inlineStr">
        <is>
          <t>Organismos internacionales de crédito</t>
        </is>
      </c>
      <c r="D7" t="n">
        <v>23.2</v>
      </c>
      <c r="E7">
        <f>IF(OR(Tabla3_1[[#This Row],[moneda]]="Total en ARS",Tabla3_1[[#This Row],[moneda]]="pesos"),Tabla3_1[[#This Row],[Valor]]*VLOOKUP(Tabla3_1[[#This Row],[añpo]],ipc!$A:$D,4,FALSE),Tabla3_1[[#This Row],[Valor]])</f>
        <v/>
      </c>
      <c r="G7" t="n">
        <v>2001</v>
      </c>
      <c r="H7" s="36">
        <f>SUMIFS($E:$E,$A:$A,$G7,$B:$B,H$1)</f>
        <v/>
      </c>
      <c r="I7" s="36">
        <f>SUMIFS($E:$E,$A:$A,$G7,$B:$B,I$1)</f>
        <v/>
      </c>
      <c r="J7" s="36">
        <f>SUMIFS($E:$E,$A:$A,$G7,$B:$B,J$1)</f>
        <v/>
      </c>
      <c r="K7" s="36">
        <f>SUMIFS($E:$E,$A:$A,$G7,$B:$B,K$1)</f>
        <v/>
      </c>
      <c r="L7" s="36">
        <f>SUMIFS($E:$E,$A:$A,$G7,$B:$B,L$1)</f>
        <v/>
      </c>
      <c r="M7" s="36">
        <f>SUMIFS($E:$E,$A:$A,$G7,$B:$B,M$1)</f>
        <v/>
      </c>
      <c r="N7" s="36" t="n"/>
      <c r="O7" s="48" t="n">
        <v>1998</v>
      </c>
      <c r="P7" t="n">
        <v>0</v>
      </c>
      <c r="Q7" t="n">
        <v>0</v>
      </c>
      <c r="R7" t="n">
        <v>181682.2148800563</v>
      </c>
      <c r="S7" t="n">
        <v>181682.2148800563</v>
      </c>
      <c r="T7" t="n">
        <v>592982.9083176444</v>
      </c>
      <c r="U7" t="n">
        <v>592982.9083176444</v>
      </c>
      <c r="V7" t="n">
        <v>0</v>
      </c>
      <c r="W7" t="n">
        <v>0</v>
      </c>
      <c r="X7" t="n">
        <v>0</v>
      </c>
      <c r="Y7" t="n">
        <v>0</v>
      </c>
      <c r="Z7" t="n">
        <v>26321.93007817879</v>
      </c>
      <c r="AA7" t="n">
        <v>26321.93007817879</v>
      </c>
      <c r="AB7" t="n">
        <v>0</v>
      </c>
      <c r="AC7" t="n">
        <v>0</v>
      </c>
      <c r="AD7" t="n">
        <v>1548737.36146133</v>
      </c>
      <c r="AE7" t="n">
        <v>1548737.36146133</v>
      </c>
      <c r="AF7" t="n">
        <v>0</v>
      </c>
      <c r="AG7" t="n">
        <v>0</v>
      </c>
      <c r="AH7" t="n">
        <v>2349724.41473721</v>
      </c>
    </row>
    <row r="8">
      <c r="A8" t="n">
        <v>1996</v>
      </c>
      <c r="B8" t="inlineStr">
        <is>
          <t>Total en ARS</t>
        </is>
      </c>
      <c r="C8" t="inlineStr">
        <is>
          <t>Garantías y/o avales</t>
        </is>
      </c>
      <c r="E8">
        <f>IF(OR(Tabla3_1[[#This Row],[moneda]]="Total en ARS",Tabla3_1[[#This Row],[moneda]]="pesos"),Tabla3_1[[#This Row],[Valor]]*VLOOKUP(Tabla3_1[[#This Row],[añpo]],ipc!$A:$D,4,FALSE),Tabla3_1[[#This Row],[Valor]])</f>
        <v/>
      </c>
      <c r="G8" t="n">
        <v>2002</v>
      </c>
      <c r="H8" s="36">
        <f>SUMIFS($E:$E,$A:$A,$G8,$B:$B,H$1)</f>
        <v/>
      </c>
      <c r="I8" s="36">
        <f>SUMIFS($E:$E,$A:$A,$G8,$B:$B,I$1)</f>
        <v/>
      </c>
      <c r="J8" s="36">
        <f>SUMIFS($E:$E,$A:$A,$G8,$B:$B,J$1)</f>
        <v/>
      </c>
      <c r="K8" s="36">
        <f>SUMIFS($E:$E,$A:$A,$G8,$B:$B,K$1)</f>
        <v/>
      </c>
      <c r="L8" s="36">
        <f>SUMIFS($E:$E,$A:$A,$G8,$B:$B,L$1)</f>
        <v/>
      </c>
      <c r="M8" s="36">
        <f>SUMIFS($E:$E,$A:$A,$G8,$B:$B,M$1)</f>
        <v/>
      </c>
      <c r="N8" s="36" t="n"/>
      <c r="O8" s="48" t="n">
        <v>1999</v>
      </c>
      <c r="P8" t="n">
        <v>0</v>
      </c>
      <c r="Q8" t="n">
        <v>0</v>
      </c>
      <c r="R8" t="n">
        <v>75090.80941330623</v>
      </c>
      <c r="S8" t="n">
        <v>75090.80941330623</v>
      </c>
      <c r="T8" t="n">
        <v>307217.3683298958</v>
      </c>
      <c r="U8" t="n">
        <v>307217.3683298958</v>
      </c>
      <c r="V8" t="n">
        <v>0</v>
      </c>
      <c r="W8" t="n">
        <v>0</v>
      </c>
      <c r="X8" t="n">
        <v>0</v>
      </c>
      <c r="Y8" t="n">
        <v>0</v>
      </c>
      <c r="Z8" t="n">
        <v>36189.80997282264</v>
      </c>
      <c r="AA8" t="n">
        <v>36189.80997282264</v>
      </c>
      <c r="AB8" t="n">
        <v>0</v>
      </c>
      <c r="AC8" t="n">
        <v>0</v>
      </c>
      <c r="AD8" t="n">
        <v>1257595.896555586</v>
      </c>
      <c r="AE8" t="n">
        <v>1257595.896555586</v>
      </c>
      <c r="AF8" t="n">
        <v>94434.68932302203</v>
      </c>
      <c r="AG8" t="n">
        <v>94434.68932302203</v>
      </c>
      <c r="AH8" t="n">
        <v>1770528.573594633</v>
      </c>
    </row>
    <row r="9">
      <c r="A9" t="n">
        <v>1996</v>
      </c>
      <c r="B9" t="inlineStr">
        <is>
          <t>Total en ARS</t>
        </is>
      </c>
      <c r="C9" t="inlineStr">
        <is>
          <t>Acuerdo OSPLAD</t>
        </is>
      </c>
      <c r="E9">
        <f>IF(OR(Tabla3_1[[#This Row],[moneda]]="Total en ARS",Tabla3_1[[#This Row],[moneda]]="pesos"),Tabla3_1[[#This Row],[Valor]]*VLOOKUP(Tabla3_1[[#This Row],[añpo]],ipc!$A:$D,4,FALSE),Tabla3_1[[#This Row],[Valor]])</f>
        <v/>
      </c>
      <c r="G9" t="n">
        <v>2003</v>
      </c>
      <c r="H9" s="36">
        <f>SUMIFS($E:$E,$A:$A,$G9,$B:$B,H$1)</f>
        <v/>
      </c>
      <c r="I9" s="36">
        <f>SUMIFS($E:$E,$A:$A,$G9,$B:$B,I$1)</f>
        <v/>
      </c>
      <c r="J9" s="36">
        <f>SUMIFS($E:$E,$A:$A,$G9,$B:$B,J$1)</f>
        <v/>
      </c>
      <c r="K9" s="36">
        <f>SUMIFS($E:$E,$A:$A,$G9,$B:$B,K$1)</f>
        <v/>
      </c>
      <c r="L9" s="36">
        <f>SUMIFS($E:$E,$A:$A,$G9,$B:$B,L$1)</f>
        <v/>
      </c>
      <c r="M9" s="36">
        <f>SUMIFS($E:$E,$A:$A,$G9,$B:$B,M$1)</f>
        <v/>
      </c>
      <c r="N9" s="36" t="n"/>
      <c r="O9" s="48" t="n">
        <v>2000</v>
      </c>
      <c r="P9" t="n">
        <v>0</v>
      </c>
      <c r="Q9" t="n">
        <v>0</v>
      </c>
      <c r="R9" t="n">
        <v>21190.03665971692</v>
      </c>
      <c r="S9" t="n">
        <v>21190.03665971692</v>
      </c>
      <c r="T9" t="n">
        <v>742234.3543377888</v>
      </c>
      <c r="U9" t="n">
        <v>742234.3543377888</v>
      </c>
      <c r="V9" t="n">
        <v>0</v>
      </c>
      <c r="W9" t="n">
        <v>0</v>
      </c>
      <c r="X9" t="n">
        <v>0</v>
      </c>
      <c r="Y9" t="n">
        <v>0</v>
      </c>
      <c r="Z9" t="n">
        <v>69385.47847591592</v>
      </c>
      <c r="AA9" t="n">
        <v>69385.47847591592</v>
      </c>
      <c r="AB9" t="n">
        <v>0</v>
      </c>
      <c r="AC9" t="n">
        <v>0</v>
      </c>
      <c r="AD9" t="n">
        <v>1844131.604623271</v>
      </c>
      <c r="AE9" t="n">
        <v>1844131.604623271</v>
      </c>
      <c r="AF9" t="n">
        <v>148683.168162677</v>
      </c>
      <c r="AG9" t="n">
        <v>148683.168162677</v>
      </c>
      <c r="AH9" t="n">
        <v>2825624.642259369</v>
      </c>
    </row>
    <row r="10">
      <c r="A10" t="n">
        <v>1996</v>
      </c>
      <c r="B10" t="inlineStr">
        <is>
          <t>Total en ARS</t>
        </is>
      </c>
      <c r="C10" t="inlineStr">
        <is>
          <t>Préstamo ANSES - Ley 5603</t>
        </is>
      </c>
      <c r="E10">
        <f>IF(OR(Tabla3_1[[#This Row],[moneda]]="Total en ARS",Tabla3_1[[#This Row],[moneda]]="pesos"),Tabla3_1[[#This Row],[Valor]]*VLOOKUP(Tabla3_1[[#This Row],[añpo]],ipc!$A:$D,4,FALSE),Tabla3_1[[#This Row],[Valor]])</f>
        <v/>
      </c>
      <c r="G10" t="n">
        <v>2004</v>
      </c>
      <c r="H10" s="36">
        <f>SUMIFS($E:$E,$A:$A,$G10,$B:$B,H$1)</f>
        <v/>
      </c>
      <c r="I10" s="36">
        <f>SUMIFS($E:$E,$A:$A,$G10,$B:$B,I$1)</f>
        <v/>
      </c>
      <c r="J10" s="36">
        <f>SUMIFS($E:$E,$A:$A,$G10,$B:$B,J$1)</f>
        <v/>
      </c>
      <c r="K10" s="36">
        <f>SUMIFS($E:$E,$A:$A,$G10,$B:$B,K$1)</f>
        <v/>
      </c>
      <c r="L10" s="36">
        <f>SUMIFS($E:$E,$A:$A,$G10,$B:$B,L$1)</f>
        <v/>
      </c>
      <c r="M10" s="36">
        <f>SUMIFS($E:$E,$A:$A,$G10,$B:$B,M$1)</f>
        <v/>
      </c>
      <c r="N10" s="36" t="n"/>
      <c r="O10" s="48" t="n">
        <v>2001</v>
      </c>
      <c r="P10" t="n">
        <v>0</v>
      </c>
      <c r="Q10" t="n">
        <v>0</v>
      </c>
      <c r="R10" t="n">
        <v>119938.4348110055</v>
      </c>
      <c r="S10" t="n">
        <v>119938.4348110055</v>
      </c>
      <c r="T10" t="n">
        <v>1021331.253292522</v>
      </c>
      <c r="U10" t="n">
        <v>1021331.253292522</v>
      </c>
      <c r="V10" t="n">
        <v>0</v>
      </c>
      <c r="W10" t="n">
        <v>0</v>
      </c>
      <c r="X10" t="n">
        <v>0</v>
      </c>
      <c r="Y10" t="n">
        <v>0</v>
      </c>
      <c r="Z10" t="n">
        <v>85917.43647519145</v>
      </c>
      <c r="AA10" t="n">
        <v>85917.43647519145</v>
      </c>
      <c r="AB10" t="n">
        <v>0</v>
      </c>
      <c r="AC10" t="n">
        <v>0</v>
      </c>
      <c r="AD10" t="n">
        <v>2242191.064392386</v>
      </c>
      <c r="AE10" t="n">
        <v>2242191.064392386</v>
      </c>
      <c r="AF10" t="n">
        <v>138842.4526677817</v>
      </c>
      <c r="AG10" t="n">
        <v>138842.4526677817</v>
      </c>
      <c r="AH10" t="n">
        <v>3608220.641638886</v>
      </c>
    </row>
    <row r="11">
      <c r="A11" t="n">
        <v>1997</v>
      </c>
      <c r="B11" t="inlineStr">
        <is>
          <t>Total en ARS</t>
        </is>
      </c>
      <c r="C11" t="inlineStr">
        <is>
          <t>Proveedores y Contratistas</t>
        </is>
      </c>
      <c r="D11" t="n">
        <v>1162.1</v>
      </c>
      <c r="E11">
        <f>IF(OR(Tabla3_1[[#This Row],[moneda]]="Total en ARS",Tabla3_1[[#This Row],[moneda]]="pesos"),Tabla3_1[[#This Row],[Valor]]*VLOOKUP(Tabla3_1[[#This Row],[añpo]],ipc!$A:$D,4,FALSE),Tabla3_1[[#This Row],[Valor]])</f>
        <v/>
      </c>
      <c r="G11" t="n">
        <v>2005</v>
      </c>
      <c r="H11" s="36">
        <f>SUMIFS($E:$E,$A:$A,$G11,$B:$B,H$1)</f>
        <v/>
      </c>
      <c r="I11" s="36">
        <f>SUMIFS($E:$E,$A:$A,$G11,$B:$B,I$1)</f>
        <v/>
      </c>
      <c r="J11" s="36">
        <f>SUMIFS($E:$E,$A:$A,$G11,$B:$B,J$1)</f>
        <v/>
      </c>
      <c r="K11" s="36">
        <f>SUMIFS($E:$E,$A:$A,$G11,$B:$B,K$1)</f>
        <v/>
      </c>
      <c r="L11" s="36">
        <f>SUMIFS($E:$E,$A:$A,$G11,$B:$B,L$1)</f>
        <v/>
      </c>
      <c r="M11" s="36">
        <f>SUMIFS($E:$E,$A:$A,$G11,$B:$B,M$1)</f>
        <v/>
      </c>
      <c r="N11" s="36" t="n"/>
      <c r="O11" s="48" t="n">
        <v>2002</v>
      </c>
      <c r="P11" t="n">
        <v>0</v>
      </c>
      <c r="Q11" t="n">
        <v>0</v>
      </c>
      <c r="R11" t="n">
        <v>13223.62661877026</v>
      </c>
      <c r="S11" t="n">
        <v>13223.62661877026</v>
      </c>
      <c r="T11" t="n">
        <v>735481.3065891287</v>
      </c>
      <c r="U11" t="n">
        <v>735481.3065891287</v>
      </c>
      <c r="V11" t="n">
        <v>0</v>
      </c>
      <c r="W11" t="n">
        <v>0</v>
      </c>
      <c r="X11" t="n">
        <v>0</v>
      </c>
      <c r="Y11" t="n">
        <v>0</v>
      </c>
      <c r="Z11" t="n">
        <v>350250.0852170016</v>
      </c>
      <c r="AA11" t="n">
        <v>350250.0852170016</v>
      </c>
      <c r="AB11" t="n">
        <v>0</v>
      </c>
      <c r="AC11" t="n">
        <v>0</v>
      </c>
      <c r="AD11" t="n">
        <v>3237356.524181436</v>
      </c>
      <c r="AE11" t="n">
        <v>3237356.524181436</v>
      </c>
      <c r="AF11" t="n">
        <v>97164.90863357279</v>
      </c>
      <c r="AG11" t="n">
        <v>97164.90863357279</v>
      </c>
      <c r="AH11" t="n">
        <v>4433476.45123991</v>
      </c>
    </row>
    <row r="12">
      <c r="A12" t="n">
        <v>1997</v>
      </c>
      <c r="B12" t="inlineStr">
        <is>
          <t>Total en ARS</t>
        </is>
      </c>
      <c r="C12" t="inlineStr">
        <is>
          <t>Deuda previsional</t>
        </is>
      </c>
      <c r="D12" t="n">
        <v>420.6</v>
      </c>
      <c r="E12">
        <f>IF(OR(Tabla3_1[[#This Row],[moneda]]="Total en ARS",Tabla3_1[[#This Row],[moneda]]="pesos"),Tabla3_1[[#This Row],[Valor]]*VLOOKUP(Tabla3_1[[#This Row],[añpo]],ipc!$A:$D,4,FALSE),Tabla3_1[[#This Row],[Valor]])</f>
        <v/>
      </c>
      <c r="G12" t="n">
        <v>2006</v>
      </c>
      <c r="H12" s="36">
        <f>SUMIFS($E:$E,$A:$A,$G12,$B:$B,H$1)</f>
        <v/>
      </c>
      <c r="I12" s="36">
        <f>SUMIFS($E:$E,$A:$A,$G12,$B:$B,I$1)</f>
        <v/>
      </c>
      <c r="J12" s="36">
        <f>SUMIFS($E:$E,$A:$A,$G12,$B:$B,J$1)</f>
        <v/>
      </c>
      <c r="K12" s="36">
        <f>SUMIFS($E:$E,$A:$A,$G12,$B:$B,K$1)</f>
        <v/>
      </c>
      <c r="L12" s="36">
        <f>SUMIFS($E:$E,$A:$A,$G12,$B:$B,L$1)</f>
        <v/>
      </c>
      <c r="M12" s="36">
        <f>SUMIFS($E:$E,$A:$A,$G12,$B:$B,M$1)</f>
        <v/>
      </c>
      <c r="N12" s="36" t="n"/>
      <c r="O12" s="48" t="n">
        <v>2003</v>
      </c>
      <c r="P12" t="n">
        <v>0</v>
      </c>
      <c r="Q12" t="n">
        <v>0</v>
      </c>
      <c r="R12" t="n">
        <v>11125.20234256677</v>
      </c>
      <c r="S12" t="n">
        <v>11125.20234256677</v>
      </c>
      <c r="T12" t="n">
        <v>380155.5239588493</v>
      </c>
      <c r="U12" t="n">
        <v>380155.5239588493</v>
      </c>
      <c r="V12" t="n">
        <v>0</v>
      </c>
      <c r="W12" t="n">
        <v>0</v>
      </c>
      <c r="X12" t="n">
        <v>0</v>
      </c>
      <c r="Y12" t="n">
        <v>0</v>
      </c>
      <c r="Z12" t="n">
        <v>336268.0407004686</v>
      </c>
      <c r="AA12" t="n">
        <v>336268.0407004686</v>
      </c>
      <c r="AB12" t="n">
        <v>0</v>
      </c>
      <c r="AC12" t="n">
        <v>0</v>
      </c>
      <c r="AD12" t="n">
        <v>2306280.791970551</v>
      </c>
      <c r="AE12" t="n">
        <v>2306280.791970551</v>
      </c>
      <c r="AF12" t="n">
        <v>68287.19597038589</v>
      </c>
      <c r="AG12" t="n">
        <v>68287.19597038589</v>
      </c>
      <c r="AH12" t="n">
        <v>3102116.754942821</v>
      </c>
    </row>
    <row r="13">
      <c r="A13" t="n">
        <v>1997</v>
      </c>
      <c r="B13" t="inlineStr">
        <is>
          <t>Total en ARS</t>
        </is>
      </c>
      <c r="C13" t="inlineStr">
        <is>
          <t>Títulos públicos</t>
        </is>
      </c>
      <c r="E13">
        <f>IF(OR(Tabla3_1[[#This Row],[moneda]]="Total en ARS",Tabla3_1[[#This Row],[moneda]]="pesos"),Tabla3_1[[#This Row],[Valor]]*VLOOKUP(Tabla3_1[[#This Row],[añpo]],ipc!$A:$D,4,FALSE),Tabla3_1[[#This Row],[Valor]])</f>
        <v/>
      </c>
      <c r="G13" t="n">
        <v>2007</v>
      </c>
      <c r="H13" s="36">
        <f>SUMIFS($E:$E,$A:$A,$G13,$B:$B,H$1)</f>
        <v/>
      </c>
      <c r="I13" s="36">
        <f>SUMIFS($E:$E,$A:$A,$G13,$B:$B,I$1)</f>
        <v/>
      </c>
      <c r="J13" s="36">
        <f>SUMIFS($E:$E,$A:$A,$G13,$B:$B,J$1)</f>
        <v/>
      </c>
      <c r="K13" s="36">
        <f>SUMIFS($E:$E,$A:$A,$G13,$B:$B,K$1)</f>
        <v/>
      </c>
      <c r="L13" s="36">
        <f>SUMIFS($E:$E,$A:$A,$G13,$B:$B,L$1)</f>
        <v/>
      </c>
      <c r="M13" s="36">
        <f>SUMIFS($E:$E,$A:$A,$G13,$B:$B,M$1)</f>
        <v/>
      </c>
      <c r="N13" s="36" t="n"/>
      <c r="O13" s="48" t="n">
        <v>2004</v>
      </c>
      <c r="P13" t="n">
        <v>0</v>
      </c>
      <c r="Q13" t="n">
        <v>0</v>
      </c>
      <c r="R13" t="n">
        <v>10218.97456370964</v>
      </c>
      <c r="S13" t="n">
        <v>10218.97456370964</v>
      </c>
      <c r="T13" t="n">
        <v>457008.2978599656</v>
      </c>
      <c r="U13" t="n">
        <v>457008.2978599656</v>
      </c>
      <c r="V13" t="n">
        <v>0</v>
      </c>
      <c r="W13" t="n">
        <v>0</v>
      </c>
      <c r="X13" t="n">
        <v>0</v>
      </c>
      <c r="Y13" t="n">
        <v>0</v>
      </c>
      <c r="Z13" t="n">
        <v>335872.7446882343</v>
      </c>
      <c r="AA13" t="n">
        <v>335872.7446882343</v>
      </c>
      <c r="AB13" t="n">
        <v>0</v>
      </c>
      <c r="AC13" t="n">
        <v>0</v>
      </c>
      <c r="AD13" t="n">
        <v>2702117.997193399</v>
      </c>
      <c r="AE13" t="n">
        <v>2702117.997193399</v>
      </c>
      <c r="AF13" t="n">
        <v>39127.04404564523</v>
      </c>
      <c r="AG13" t="n">
        <v>39127.04404564523</v>
      </c>
      <c r="AH13" t="n">
        <v>3544345.058350954</v>
      </c>
    </row>
    <row r="14">
      <c r="A14" t="n">
        <v>1997</v>
      </c>
      <c r="B14" t="inlineStr">
        <is>
          <t>Total en ARS</t>
        </is>
      </c>
      <c r="C14" t="inlineStr">
        <is>
          <t>Letras del Tesoro Ley 3395 art. 2</t>
        </is>
      </c>
      <c r="E14">
        <f>IF(OR(Tabla3_1[[#This Row],[moneda]]="Total en ARS",Tabla3_1[[#This Row],[moneda]]="pesos"),Tabla3_1[[#This Row],[Valor]]*VLOOKUP(Tabla3_1[[#This Row],[añpo]],ipc!$A:$D,4,FALSE),Tabla3_1[[#This Row],[Valor]])</f>
        <v/>
      </c>
      <c r="G14" t="n">
        <v>2008</v>
      </c>
      <c r="H14" s="36">
        <f>SUMIFS($E:$E,$A:$A,$G14,$B:$B,H$1)</f>
        <v/>
      </c>
      <c r="I14" s="36">
        <f>SUMIFS($E:$E,$A:$A,$G14,$B:$B,I$1)</f>
        <v/>
      </c>
      <c r="J14" s="36">
        <f>SUMIFS($E:$E,$A:$A,$G14,$B:$B,J$1)</f>
        <v/>
      </c>
      <c r="K14" s="36">
        <f>SUMIFS($E:$E,$A:$A,$G14,$B:$B,K$1)</f>
        <v/>
      </c>
      <c r="L14" s="36">
        <f>SUMIFS($E:$E,$A:$A,$G14,$B:$B,L$1)</f>
        <v/>
      </c>
      <c r="M14" s="36">
        <f>SUMIFS($E:$E,$A:$A,$G14,$B:$B,M$1)</f>
        <v/>
      </c>
      <c r="N14" s="36" t="n"/>
      <c r="O14" s="48" t="n">
        <v>2005</v>
      </c>
      <c r="P14" t="n">
        <v>0</v>
      </c>
      <c r="Q14" t="n">
        <v>0</v>
      </c>
      <c r="R14" t="n">
        <v>7070.482603165488</v>
      </c>
      <c r="S14" t="n">
        <v>7070.482603165488</v>
      </c>
      <c r="T14" t="n">
        <v>868300.0135586153</v>
      </c>
      <c r="U14" t="n">
        <v>868300.0135586153</v>
      </c>
      <c r="V14" t="n">
        <v>0</v>
      </c>
      <c r="W14" t="n">
        <v>0</v>
      </c>
      <c r="X14" t="n">
        <v>0</v>
      </c>
      <c r="Y14" t="n">
        <v>0</v>
      </c>
      <c r="Z14" t="n">
        <v>318674.7152128265</v>
      </c>
      <c r="AA14" t="n">
        <v>318674.7152128265</v>
      </c>
      <c r="AB14" t="n">
        <v>0</v>
      </c>
      <c r="AC14" t="n">
        <v>0</v>
      </c>
      <c r="AD14" t="n">
        <v>2855777.369413249</v>
      </c>
      <c r="AE14" t="n">
        <v>2855777.369413249</v>
      </c>
      <c r="AF14" t="n">
        <v>32130.42094349886</v>
      </c>
      <c r="AG14" t="n">
        <v>32130.42094349886</v>
      </c>
      <c r="AH14" t="n">
        <v>4081953.001731355</v>
      </c>
    </row>
    <row r="15">
      <c r="A15" t="n">
        <v>1997</v>
      </c>
      <c r="B15" t="inlineStr">
        <is>
          <t>Total en ARS</t>
        </is>
      </c>
      <c r="C15" t="inlineStr">
        <is>
          <t xml:space="preserve">Deuda financiera </t>
        </is>
      </c>
      <c r="D15" t="n">
        <v>226.1</v>
      </c>
      <c r="E15">
        <f>IF(OR(Tabla3_1[[#This Row],[moneda]]="Total en ARS",Tabla3_1[[#This Row],[moneda]]="pesos"),Tabla3_1[[#This Row],[Valor]]*VLOOKUP(Tabla3_1[[#This Row],[añpo]],ipc!$A:$D,4,FALSE),Tabla3_1[[#This Row],[Valor]])</f>
        <v/>
      </c>
      <c r="G15" t="n">
        <v>2009</v>
      </c>
      <c r="H15" s="36">
        <f>SUMIFS($E:$E,$A:$A,$G15,$B:$B,H$1)</f>
        <v/>
      </c>
      <c r="I15" s="36">
        <f>SUMIFS($E:$E,$A:$A,$G15,$B:$B,I$1)</f>
        <v/>
      </c>
      <c r="J15" s="36">
        <f>SUMIFS($E:$E,$A:$A,$G15,$B:$B,J$1)</f>
        <v/>
      </c>
      <c r="K15" s="36">
        <f>SUMIFS($E:$E,$A:$A,$G15,$B:$B,K$1)</f>
        <v/>
      </c>
      <c r="L15" s="36">
        <f>SUMIFS($E:$E,$A:$A,$G15,$B:$B,L$1)</f>
        <v/>
      </c>
      <c r="M15" s="36">
        <f>SUMIFS($E:$E,$A:$A,$G15,$B:$B,M$1)</f>
        <v/>
      </c>
      <c r="N15" s="36" t="n"/>
      <c r="O15" s="48" t="n">
        <v>2006</v>
      </c>
      <c r="P15" t="n">
        <v>0</v>
      </c>
      <c r="Q15" t="n">
        <v>0</v>
      </c>
      <c r="R15" t="n">
        <v>5600.591645565233</v>
      </c>
      <c r="S15" t="n">
        <v>5600.591645565233</v>
      </c>
      <c r="T15" t="n">
        <v>948723.0969691311</v>
      </c>
      <c r="U15" t="n">
        <v>948723.0969691311</v>
      </c>
      <c r="V15" t="n">
        <v>0</v>
      </c>
      <c r="W15" t="n">
        <v>0</v>
      </c>
      <c r="X15" t="n">
        <v>0</v>
      </c>
      <c r="Y15" t="n">
        <v>0</v>
      </c>
      <c r="Z15" t="n">
        <v>378102.8745912563</v>
      </c>
      <c r="AA15" t="n">
        <v>378102.8745912563</v>
      </c>
      <c r="AB15" t="n">
        <v>0</v>
      </c>
      <c r="AC15" t="n">
        <v>0</v>
      </c>
      <c r="AD15" t="n">
        <v>2501320.009269023</v>
      </c>
      <c r="AE15" t="n">
        <v>2501320.009269023</v>
      </c>
      <c r="AF15" t="n">
        <v>27938.66790427923</v>
      </c>
      <c r="AG15" t="n">
        <v>27938.66790427923</v>
      </c>
      <c r="AH15" t="n">
        <v>3861685.240379255</v>
      </c>
    </row>
    <row r="16">
      <c r="A16" t="n">
        <v>1997</v>
      </c>
      <c r="B16" t="inlineStr">
        <is>
          <t>Total en ARS</t>
        </is>
      </c>
      <c r="C16" t="inlineStr">
        <is>
          <t>Organismos internacionales de crédito</t>
        </is>
      </c>
      <c r="D16" t="n">
        <v>19.2</v>
      </c>
      <c r="E16">
        <f>IF(OR(Tabla3_1[[#This Row],[moneda]]="Total en ARS",Tabla3_1[[#This Row],[moneda]]="pesos"),Tabla3_1[[#This Row],[Valor]]*VLOOKUP(Tabla3_1[[#This Row],[añpo]],ipc!$A:$D,4,FALSE),Tabla3_1[[#This Row],[Valor]])</f>
        <v/>
      </c>
      <c r="G16" t="n">
        <v>2010</v>
      </c>
      <c r="H16" s="36">
        <f>SUMIFS($E:$E,$A:$A,$G16,$B:$B,H$1)</f>
        <v/>
      </c>
      <c r="I16" s="36">
        <f>SUMIFS($E:$E,$A:$A,$G16,$B:$B,I$1)</f>
        <v/>
      </c>
      <c r="J16" s="36">
        <f>SUMIFS($E:$E,$A:$A,$G16,$B:$B,J$1)</f>
        <v/>
      </c>
      <c r="K16" s="36">
        <f>SUMIFS($E:$E,$A:$A,$G16,$B:$B,K$1)</f>
        <v/>
      </c>
      <c r="L16" s="36">
        <f>SUMIFS($E:$E,$A:$A,$G16,$B:$B,L$1)</f>
        <v/>
      </c>
      <c r="M16" s="36">
        <f>SUMIFS($E:$E,$A:$A,$G16,$B:$B,M$1)</f>
        <v/>
      </c>
      <c r="N16" s="36" t="n"/>
      <c r="O16" s="48" t="n">
        <v>2007</v>
      </c>
      <c r="P16" t="n">
        <v>0</v>
      </c>
      <c r="Q16" t="n">
        <v>0</v>
      </c>
      <c r="R16" t="n">
        <v>3633.539770200069</v>
      </c>
      <c r="S16" t="n">
        <v>3633.539770200069</v>
      </c>
      <c r="T16" t="n">
        <v>645363.6405807855</v>
      </c>
      <c r="U16" t="n">
        <v>645363.6405807855</v>
      </c>
      <c r="V16" t="n">
        <v>4546.545341024542</v>
      </c>
      <c r="W16" t="n">
        <v>4546.545341024542</v>
      </c>
      <c r="X16" t="n">
        <v>0</v>
      </c>
      <c r="Y16" t="n">
        <v>0</v>
      </c>
      <c r="Z16" t="n">
        <v>418418.5544043347</v>
      </c>
      <c r="AA16" t="n">
        <v>418418.5544043347</v>
      </c>
      <c r="AB16" t="n">
        <v>0</v>
      </c>
      <c r="AC16" t="n">
        <v>0</v>
      </c>
      <c r="AD16" t="n">
        <v>1825265.452206256</v>
      </c>
      <c r="AE16" t="n">
        <v>1825265.452206256</v>
      </c>
      <c r="AF16" t="n">
        <v>22874.02097155622</v>
      </c>
      <c r="AG16" t="n">
        <v>22874.02097155622</v>
      </c>
      <c r="AH16" t="n">
        <v>2920101.753274157</v>
      </c>
    </row>
    <row r="17">
      <c r="A17" t="n">
        <v>1997</v>
      </c>
      <c r="B17" t="inlineStr">
        <is>
          <t>Total en ARS</t>
        </is>
      </c>
      <c r="C17" t="inlineStr">
        <is>
          <t>Garantías y/o avales</t>
        </is>
      </c>
      <c r="E17">
        <f>IF(OR(Tabla3_1[[#This Row],[moneda]]="Total en ARS",Tabla3_1[[#This Row],[moneda]]="pesos"),Tabla3_1[[#This Row],[Valor]]*VLOOKUP(Tabla3_1[[#This Row],[añpo]],ipc!$A:$D,4,FALSE),Tabla3_1[[#This Row],[Valor]])</f>
        <v/>
      </c>
      <c r="G17" t="n">
        <v>2011</v>
      </c>
      <c r="H17" s="36">
        <f>SUMIFS($E:$E,$A:$A,$G17,$B:$B,H$1)</f>
        <v/>
      </c>
      <c r="I17" s="36">
        <f>SUMIFS($E:$E,$A:$A,$G17,$B:$B,I$1)</f>
        <v/>
      </c>
      <c r="J17" s="36">
        <f>SUMIFS($E:$E,$A:$A,$G17,$B:$B,J$1)</f>
        <v/>
      </c>
      <c r="K17" s="36">
        <f>SUMIFS($E:$E,$A:$A,$G17,$B:$B,K$1)</f>
        <v/>
      </c>
      <c r="L17" s="36">
        <f>SUMIFS($E:$E,$A:$A,$G17,$B:$B,L$1)</f>
        <v/>
      </c>
      <c r="M17" s="36">
        <f>SUMIFS($E:$E,$A:$A,$G17,$B:$B,M$1)</f>
        <v/>
      </c>
      <c r="N17" s="36" t="n"/>
      <c r="O17" s="48" t="n">
        <v>2008</v>
      </c>
      <c r="P17" t="n">
        <v>0</v>
      </c>
      <c r="Q17" t="n">
        <v>0</v>
      </c>
      <c r="R17" t="n">
        <v>2247.585174093069</v>
      </c>
      <c r="S17" t="n">
        <v>2247.585174093069</v>
      </c>
      <c r="T17" t="n">
        <v>1098285.353174278</v>
      </c>
      <c r="U17" t="n">
        <v>1098285.353174278</v>
      </c>
      <c r="V17" t="n">
        <v>0</v>
      </c>
      <c r="W17" t="n">
        <v>0</v>
      </c>
      <c r="X17" t="n">
        <v>0</v>
      </c>
      <c r="Y17" t="n">
        <v>0</v>
      </c>
      <c r="Z17" t="n">
        <v>378389.3756788864</v>
      </c>
      <c r="AA17" t="n">
        <v>378389.3756788864</v>
      </c>
      <c r="AB17" t="n">
        <v>0</v>
      </c>
      <c r="AC17" t="n">
        <v>0</v>
      </c>
      <c r="AD17" t="n">
        <v>2050563.464875289</v>
      </c>
      <c r="AE17" t="n">
        <v>2050563.464875289</v>
      </c>
      <c r="AF17" t="n">
        <v>18637.82094282881</v>
      </c>
      <c r="AG17" t="n">
        <v>18637.82094282881</v>
      </c>
      <c r="AH17" t="n">
        <v>3548123.599845374</v>
      </c>
    </row>
    <row r="18">
      <c r="A18" t="n">
        <v>1997</v>
      </c>
      <c r="B18" t="inlineStr">
        <is>
          <t>Total en ARS</t>
        </is>
      </c>
      <c r="C18" t="inlineStr">
        <is>
          <t>Acuerdo OSPLAD</t>
        </is>
      </c>
      <c r="E18">
        <f>IF(OR(Tabla3_1[[#This Row],[moneda]]="Total en ARS",Tabla3_1[[#This Row],[moneda]]="pesos"),Tabla3_1[[#This Row],[Valor]]*VLOOKUP(Tabla3_1[[#This Row],[añpo]],ipc!$A:$D,4,FALSE),Tabla3_1[[#This Row],[Valor]])</f>
        <v/>
      </c>
      <c r="G18" t="n">
        <v>2012</v>
      </c>
      <c r="H18" s="36">
        <f>SUMIFS($E:$E,$A:$A,$G18,$B:$B,H$1)</f>
        <v/>
      </c>
      <c r="I18" s="36">
        <f>SUMIFS($E:$E,$A:$A,$G18,$B:$B,I$1)</f>
        <v/>
      </c>
      <c r="J18" s="36">
        <f>SUMIFS($E:$E,$A:$A,$G18,$B:$B,J$1)</f>
        <v/>
      </c>
      <c r="K18" s="36">
        <f>SUMIFS($E:$E,$A:$A,$G18,$B:$B,K$1)</f>
        <v/>
      </c>
      <c r="L18" s="36">
        <f>SUMIFS($E:$E,$A:$A,$G18,$B:$B,L$1)</f>
        <v/>
      </c>
      <c r="M18" s="36">
        <f>SUMIFS($E:$E,$A:$A,$G18,$B:$B,M$1)</f>
        <v/>
      </c>
      <c r="N18" s="36" t="n"/>
      <c r="O18" s="48" t="n">
        <v>2009</v>
      </c>
      <c r="P18" t="n">
        <v>0</v>
      </c>
      <c r="Q18" t="n">
        <v>0</v>
      </c>
      <c r="R18" t="n">
        <v>834.5179419612623</v>
      </c>
      <c r="S18" t="n">
        <v>834.5179419612623</v>
      </c>
      <c r="T18" t="n">
        <v>1091764.879026373</v>
      </c>
      <c r="U18" t="n">
        <v>1091764.879026373</v>
      </c>
      <c r="V18" t="n">
        <v>0</v>
      </c>
      <c r="W18" t="n">
        <v>0</v>
      </c>
      <c r="X18" t="n">
        <v>141140.3459826975</v>
      </c>
      <c r="Y18" t="n">
        <v>141140.3459826975</v>
      </c>
      <c r="Z18" t="n">
        <v>363929.6246170064</v>
      </c>
      <c r="AA18" t="n">
        <v>363929.6246170064</v>
      </c>
      <c r="AB18" t="n">
        <v>0</v>
      </c>
      <c r="AC18" t="n">
        <v>0</v>
      </c>
      <c r="AD18" t="n">
        <v>2299298.601117047</v>
      </c>
      <c r="AE18" t="n">
        <v>2299298.601117047</v>
      </c>
      <c r="AF18" t="n">
        <v>15562.38455427198</v>
      </c>
      <c r="AG18" t="n">
        <v>15562.38455427198</v>
      </c>
      <c r="AH18" t="n">
        <v>3912530.353239357</v>
      </c>
    </row>
    <row r="19">
      <c r="A19" t="n">
        <v>1997</v>
      </c>
      <c r="B19" t="inlineStr">
        <is>
          <t>Total en ARS</t>
        </is>
      </c>
      <c r="C19" t="inlineStr">
        <is>
          <t>Préstamo ANSES - Ley 5603</t>
        </is>
      </c>
      <c r="E19">
        <f>IF(OR(Tabla3_1[[#This Row],[moneda]]="Total en ARS",Tabla3_1[[#This Row],[moneda]]="pesos"),Tabla3_1[[#This Row],[Valor]]*VLOOKUP(Tabla3_1[[#This Row],[añpo]],ipc!$A:$D,4,FALSE),Tabla3_1[[#This Row],[Valor]])</f>
        <v/>
      </c>
      <c r="G19" t="n">
        <v>2013</v>
      </c>
      <c r="H19" s="36">
        <f>SUMIFS($E:$E,$A:$A,$G19,$B:$B,H$1)</f>
        <v/>
      </c>
      <c r="I19" s="36">
        <f>SUMIFS($E:$E,$A:$A,$G19,$B:$B,I$1)</f>
        <v/>
      </c>
      <c r="J19" s="36">
        <f>SUMIFS($E:$E,$A:$A,$G19,$B:$B,J$1)</f>
        <v/>
      </c>
      <c r="K19" s="36">
        <f>SUMIFS($E:$E,$A:$A,$G19,$B:$B,K$1)</f>
        <v/>
      </c>
      <c r="L19" s="36">
        <f>SUMIFS($E:$E,$A:$A,$G19,$B:$B,L$1)</f>
        <v/>
      </c>
      <c r="M19" s="36">
        <f>SUMIFS($E:$E,$A:$A,$G19,$B:$B,M$1)</f>
        <v/>
      </c>
      <c r="N19" s="36" t="n"/>
      <c r="O19" s="48" t="n">
        <v>2010</v>
      </c>
      <c r="P19" t="n">
        <v>0</v>
      </c>
      <c r="Q19" t="n">
        <v>0</v>
      </c>
      <c r="R19" t="n">
        <v>166.5099639149746</v>
      </c>
      <c r="S19" t="n">
        <v>166.5099639149746</v>
      </c>
      <c r="T19" t="n">
        <v>868076.5509882281</v>
      </c>
      <c r="U19" t="n">
        <v>868076.5509882281</v>
      </c>
      <c r="V19" t="n">
        <v>0</v>
      </c>
      <c r="W19" t="n">
        <v>0</v>
      </c>
      <c r="X19" t="n">
        <v>200799.1572184426</v>
      </c>
      <c r="Y19" t="n">
        <v>200799.1572184426</v>
      </c>
      <c r="Z19" t="n">
        <v>336666.713764525</v>
      </c>
      <c r="AA19" t="n">
        <v>336666.713764525</v>
      </c>
      <c r="AB19" t="n">
        <v>0</v>
      </c>
      <c r="AC19" t="n">
        <v>0</v>
      </c>
      <c r="AD19" t="n">
        <v>2535060.970368313</v>
      </c>
      <c r="AE19" t="n">
        <v>2535060.970368313</v>
      </c>
      <c r="AF19" t="n">
        <v>12103.68944707529</v>
      </c>
      <c r="AG19" t="n">
        <v>12103.68944707529</v>
      </c>
      <c r="AH19" t="n">
        <v>3952873.591750498</v>
      </c>
    </row>
    <row r="20">
      <c r="A20" t="n">
        <v>1998</v>
      </c>
      <c r="B20" t="inlineStr">
        <is>
          <t>Total en ARS</t>
        </is>
      </c>
      <c r="C20" t="inlineStr">
        <is>
          <t>Proveedores y Contratistas</t>
        </is>
      </c>
      <c r="D20" t="n">
        <v>1035.55390812</v>
      </c>
      <c r="E20">
        <f>IF(OR(Tabla3_1[[#This Row],[moneda]]="Total en ARS",Tabla3_1[[#This Row],[moneda]]="pesos"),Tabla3_1[[#This Row],[Valor]]*VLOOKUP(Tabla3_1[[#This Row],[añpo]],ipc!$A:$D,4,FALSE),Tabla3_1[[#This Row],[Valor]])</f>
        <v/>
      </c>
      <c r="G20" t="n">
        <v>2014</v>
      </c>
      <c r="H20" s="36">
        <f>SUMIFS($E:$E,$A:$A,$G20,$B:$B,H$1)</f>
        <v/>
      </c>
      <c r="I20" s="36">
        <f>SUMIFS($E:$E,$A:$A,$G20,$B:$B,I$1)</f>
        <v/>
      </c>
      <c r="J20" s="36">
        <f>SUMIFS($E:$E,$A:$A,$G20,$B:$B,J$1)</f>
        <v/>
      </c>
      <c r="K20" s="36">
        <f>SUMIFS($E:$E,$A:$A,$G20,$B:$B,K$1)</f>
        <v/>
      </c>
      <c r="L20" s="36">
        <f>SUMIFS($E:$E,$A:$A,$G20,$B:$B,L$1)</f>
        <v/>
      </c>
      <c r="M20" s="36">
        <f>SUMIFS($E:$E,$A:$A,$G20,$B:$B,M$1)</f>
        <v/>
      </c>
      <c r="N20" s="36" t="n"/>
      <c r="O20" s="48" t="n">
        <v>2011</v>
      </c>
      <c r="P20" t="n">
        <v>0</v>
      </c>
      <c r="Q20" t="n">
        <v>0</v>
      </c>
      <c r="R20" t="n">
        <v>0</v>
      </c>
      <c r="S20" t="n">
        <v>0</v>
      </c>
      <c r="T20" t="n">
        <v>738471.1269946736</v>
      </c>
      <c r="U20" t="n">
        <v>738471.1269946736</v>
      </c>
      <c r="V20" t="n">
        <v>0</v>
      </c>
      <c r="W20" t="n">
        <v>0</v>
      </c>
      <c r="X20" t="n">
        <v>114227.0601437332</v>
      </c>
      <c r="Y20" t="n">
        <v>114227.0601437332</v>
      </c>
      <c r="Z20" t="n">
        <v>314456.6622151826</v>
      </c>
      <c r="AA20" t="n">
        <v>314456.6622151826</v>
      </c>
      <c r="AB20" t="n">
        <v>0</v>
      </c>
      <c r="AC20" t="n">
        <v>0</v>
      </c>
      <c r="AD20" t="n">
        <v>1969907.122159899</v>
      </c>
      <c r="AE20" t="n">
        <v>1969907.122159899</v>
      </c>
      <c r="AF20" t="n">
        <v>9790.982489727807</v>
      </c>
      <c r="AG20" t="n">
        <v>9790.982489727807</v>
      </c>
      <c r="AH20" t="n">
        <v>3146852.954003216</v>
      </c>
    </row>
    <row r="21">
      <c r="A21" t="n">
        <v>1998</v>
      </c>
      <c r="B21" t="inlineStr">
        <is>
          <t>Total en ARS</t>
        </is>
      </c>
      <c r="C21" t="inlineStr">
        <is>
          <t>Deuda previsional</t>
        </is>
      </c>
      <c r="D21" t="n">
        <v>396.49444989</v>
      </c>
      <c r="E21">
        <f>IF(OR(Tabla3_1[[#This Row],[moneda]]="Total en ARS",Tabla3_1[[#This Row],[moneda]]="pesos"),Tabla3_1[[#This Row],[Valor]]*VLOOKUP(Tabla3_1[[#This Row],[añpo]],ipc!$A:$D,4,FALSE),Tabla3_1[[#This Row],[Valor]])</f>
        <v/>
      </c>
      <c r="G21" t="n">
        <v>2015</v>
      </c>
      <c r="H21" s="36">
        <f>SUMIFS($E:$E,$A:$A,$G21,$B:$B,H$1)</f>
        <v/>
      </c>
      <c r="I21" s="36">
        <f>SUMIFS($E:$E,$A:$A,$G21,$B:$B,I$1)</f>
        <v/>
      </c>
      <c r="J21" s="36">
        <f>SUMIFS($E:$E,$A:$A,$G21,$B:$B,J$1)</f>
        <v/>
      </c>
      <c r="K21" s="36">
        <f>SUMIFS($E:$E,$A:$A,$G21,$B:$B,K$1)</f>
        <v/>
      </c>
      <c r="L21" s="36">
        <f>SUMIFS($E:$E,$A:$A,$G21,$B:$B,L$1)</f>
        <v/>
      </c>
      <c r="M21" s="36">
        <f>SUMIFS($E:$E,$A:$A,$G21,$B:$B,M$1)</f>
        <v/>
      </c>
      <c r="N21" s="36" t="n"/>
      <c r="O21" s="48" t="n">
        <v>2012</v>
      </c>
      <c r="P21" t="n">
        <v>26124.90694399154</v>
      </c>
      <c r="Q21" t="n">
        <v>26124.90694399154</v>
      </c>
      <c r="R21" t="n">
        <v>0</v>
      </c>
      <c r="S21" t="n">
        <v>0</v>
      </c>
      <c r="T21" t="n">
        <v>1001997.272240882</v>
      </c>
      <c r="U21" t="n">
        <v>1001997.272240882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1083715.641429453</v>
      </c>
      <c r="AE21" t="n">
        <v>1083715.641429453</v>
      </c>
      <c r="AF21" t="n">
        <v>7945.358508052595</v>
      </c>
      <c r="AG21" t="n">
        <v>7945.358508052595</v>
      </c>
      <c r="AH21" t="n">
        <v>2119783.17912238</v>
      </c>
    </row>
    <row r="22">
      <c r="A22" t="n">
        <v>1998</v>
      </c>
      <c r="B22" t="inlineStr">
        <is>
          <t>Total en ARS</t>
        </is>
      </c>
      <c r="C22" t="inlineStr">
        <is>
          <t>Títulos públicos</t>
        </is>
      </c>
      <c r="E22">
        <f>IF(OR(Tabla3_1[[#This Row],[moneda]]="Total en ARS",Tabla3_1[[#This Row],[moneda]]="pesos"),Tabla3_1[[#This Row],[Valor]]*VLOOKUP(Tabla3_1[[#This Row],[añpo]],ipc!$A:$D,4,FALSE),Tabla3_1[[#This Row],[Valor]])</f>
        <v/>
      </c>
      <c r="G22" t="n">
        <v>2016</v>
      </c>
      <c r="H22" s="36">
        <f>SUMIFS($E:$E,$A:$A,$G22,$B:$B,H$1)</f>
        <v/>
      </c>
      <c r="I22" s="36">
        <f>SUMIFS($E:$E,$A:$A,$G22,$B:$B,I$1)</f>
        <v/>
      </c>
      <c r="J22" s="36">
        <f>SUMIFS($E:$E,$A:$A,$G22,$B:$B,J$1)</f>
        <v/>
      </c>
      <c r="K22" s="36">
        <f>SUMIFS($E:$E,$A:$A,$G22,$B:$B,K$1)</f>
        <v/>
      </c>
      <c r="L22" s="36">
        <f>SUMIFS($E:$E,$A:$A,$G22,$B:$B,L$1)</f>
        <v/>
      </c>
      <c r="M22" s="36">
        <f>SUMIFS($E:$E,$A:$A,$G22,$B:$B,M$1)</f>
        <v/>
      </c>
      <c r="N22" s="36" t="n"/>
      <c r="O22" s="48" t="n">
        <v>2013</v>
      </c>
      <c r="P22" t="n">
        <v>9311.119772420127</v>
      </c>
      <c r="Q22" t="n">
        <v>9311.119772420127</v>
      </c>
      <c r="R22" t="n">
        <v>0</v>
      </c>
      <c r="S22" t="n">
        <v>0</v>
      </c>
      <c r="T22" t="n">
        <v>988371.1767975899</v>
      </c>
      <c r="U22" t="n">
        <v>988371.1767975899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1022546.842875306</v>
      </c>
      <c r="AE22" t="n">
        <v>1022546.842875306</v>
      </c>
      <c r="AF22" t="n">
        <v>6038.281807574633</v>
      </c>
      <c r="AG22" t="n">
        <v>6038.281807574633</v>
      </c>
      <c r="AH22" t="n">
        <v>2026267.421252891</v>
      </c>
    </row>
    <row r="23">
      <c r="A23" t="n">
        <v>1998</v>
      </c>
      <c r="B23" t="inlineStr">
        <is>
          <t>Total en ARS</t>
        </is>
      </c>
      <c r="C23" t="inlineStr">
        <is>
          <t>Letras del Tesoro Ley 3395 art. 2</t>
        </is>
      </c>
      <c r="E23">
        <f>IF(OR(Tabla3_1[[#This Row],[moneda]]="Total en ARS",Tabla3_1[[#This Row],[moneda]]="pesos"),Tabla3_1[[#This Row],[Valor]]*VLOOKUP(Tabla3_1[[#This Row],[añpo]],ipc!$A:$D,4,FALSE),Tabla3_1[[#This Row],[Valor]])</f>
        <v/>
      </c>
      <c r="G23" t="n">
        <v>2017</v>
      </c>
      <c r="H23" s="36">
        <f>SUMIFS($E:$E,$A:$A,$G23,$B:$B,H$1)</f>
        <v/>
      </c>
      <c r="I23" s="36">
        <f>SUMIFS($E:$E,$A:$A,$G23,$B:$B,I$1)</f>
        <v/>
      </c>
      <c r="J23" s="36">
        <f>SUMIFS($E:$E,$A:$A,$G23,$B:$B,J$1)</f>
        <v/>
      </c>
      <c r="K23" s="36">
        <f>SUMIFS($E:$E,$A:$A,$G23,$B:$B,K$1)</f>
        <v/>
      </c>
      <c r="L23" s="36">
        <f>SUMIFS($E:$E,$A:$A,$G23,$B:$B,L$1)</f>
        <v/>
      </c>
      <c r="M23" s="36">
        <f>SUMIFS($E:$E,$A:$A,$G23,$B:$B,M$1)</f>
        <v/>
      </c>
      <c r="N23" s="36" t="n"/>
      <c r="O23" s="48" t="n">
        <v>2014</v>
      </c>
      <c r="P23" t="n">
        <v>2088.333872517568</v>
      </c>
      <c r="Q23" t="n">
        <v>2088.333872517568</v>
      </c>
      <c r="R23" t="n">
        <v>0</v>
      </c>
      <c r="S23" t="n">
        <v>0</v>
      </c>
      <c r="T23" t="n">
        <v>1065405.864005014</v>
      </c>
      <c r="U23" t="n">
        <v>1065405.864005014</v>
      </c>
      <c r="V23" t="n">
        <v>0</v>
      </c>
      <c r="W23" t="n">
        <v>0</v>
      </c>
      <c r="X23" t="n">
        <v>58640.51078308882</v>
      </c>
      <c r="Y23" t="n">
        <v>58640.51078308882</v>
      </c>
      <c r="Z23" t="n">
        <v>229166.3822678277</v>
      </c>
      <c r="AA23" t="n">
        <v>229166.3822678277</v>
      </c>
      <c r="AB23" t="n">
        <v>0</v>
      </c>
      <c r="AC23" t="n">
        <v>0</v>
      </c>
      <c r="AD23" t="n">
        <v>3511409.062847923</v>
      </c>
      <c r="AE23" t="n">
        <v>3511409.062847923</v>
      </c>
      <c r="AF23" t="n">
        <v>4351.069725903294</v>
      </c>
      <c r="AG23" t="n">
        <v>4351.069725903294</v>
      </c>
      <c r="AH23" t="n">
        <v>4871061.223502275</v>
      </c>
    </row>
    <row r="24">
      <c r="A24" t="n">
        <v>1998</v>
      </c>
      <c r="B24" t="inlineStr">
        <is>
          <t>Total en ARS</t>
        </is>
      </c>
      <c r="C24" t="inlineStr">
        <is>
          <t xml:space="preserve">Deuda financiera </t>
        </is>
      </c>
      <c r="D24" t="n">
        <v>121.48071864</v>
      </c>
      <c r="E24">
        <f>IF(OR(Tabla3_1[[#This Row],[moneda]]="Total en ARS",Tabla3_1[[#This Row],[moneda]]="pesos"),Tabla3_1[[#This Row],[Valor]]*VLOOKUP(Tabla3_1[[#This Row],[añpo]],ipc!$A:$D,4,FALSE),Tabla3_1[[#This Row],[Valor]])</f>
        <v/>
      </c>
      <c r="G24" t="n">
        <v>2018</v>
      </c>
      <c r="H24" s="36">
        <f>SUMIFS($E:$E,$A:$A,$G24,$B:$B,H$1)</f>
        <v/>
      </c>
      <c r="I24" s="36">
        <f>SUMIFS($E:$E,$A:$A,$G24,$B:$B,I$1)</f>
        <v/>
      </c>
      <c r="J24" s="36">
        <f>SUMIFS($E:$E,$A:$A,$G24,$B:$B,J$1)</f>
        <v/>
      </c>
      <c r="K24" s="36">
        <f>SUMIFS($E:$E,$A:$A,$G24,$B:$B,K$1)</f>
        <v/>
      </c>
      <c r="L24" s="36">
        <f>SUMIFS($E:$E,$A:$A,$G24,$B:$B,L$1)</f>
        <v/>
      </c>
      <c r="M24" s="36">
        <f>SUMIFS($E:$E,$A:$A,$G24,$B:$B,M$1)</f>
        <v/>
      </c>
      <c r="N24" s="36" t="n"/>
      <c r="O24" s="48" t="n">
        <v>2015</v>
      </c>
      <c r="P24" t="n">
        <v>0</v>
      </c>
      <c r="Q24" t="n">
        <v>0</v>
      </c>
      <c r="R24" t="n">
        <v>0</v>
      </c>
      <c r="S24" t="n">
        <v>0</v>
      </c>
      <c r="T24" t="n">
        <v>988826.1238151309</v>
      </c>
      <c r="U24" t="n">
        <v>988826.1238151309</v>
      </c>
      <c r="V24" t="n">
        <v>172905.192900038</v>
      </c>
      <c r="W24" t="n">
        <v>172905.192900038</v>
      </c>
      <c r="X24" t="n">
        <v>246958.9268670256</v>
      </c>
      <c r="Y24" t="n">
        <v>246958.9268670256</v>
      </c>
      <c r="Z24" t="n">
        <v>261234.6365057588</v>
      </c>
      <c r="AA24" t="n">
        <v>261234.6365057588</v>
      </c>
      <c r="AB24" t="n">
        <v>0</v>
      </c>
      <c r="AC24" t="n">
        <v>0</v>
      </c>
      <c r="AD24" t="n">
        <v>4317631.950870745</v>
      </c>
      <c r="AE24" t="n">
        <v>4317631.950870745</v>
      </c>
      <c r="AF24" t="n">
        <v>3314.647760656927</v>
      </c>
      <c r="AG24" t="n">
        <v>3314.647760656927</v>
      </c>
      <c r="AH24" t="n">
        <v>5990871.478719355</v>
      </c>
    </row>
    <row r="25">
      <c r="A25" t="n">
        <v>1998</v>
      </c>
      <c r="B25" t="inlineStr">
        <is>
          <t>Total en ARS</t>
        </is>
      </c>
      <c r="C25" t="inlineStr">
        <is>
          <t>Organismos internacionales de crédito</t>
        </is>
      </c>
      <c r="D25" t="n">
        <v>17.6</v>
      </c>
      <c r="E25">
        <f>IF(OR(Tabla3_1[[#This Row],[moneda]]="Total en ARS",Tabla3_1[[#This Row],[moneda]]="pesos"),Tabla3_1[[#This Row],[Valor]]*VLOOKUP(Tabla3_1[[#This Row],[añpo]],ipc!$A:$D,4,FALSE),Tabla3_1[[#This Row],[Valor]])</f>
        <v/>
      </c>
      <c r="G25" t="n">
        <v>2019</v>
      </c>
      <c r="H25" s="36">
        <f>SUMIFS($E:$E,$A:$A,$G25,$B:$B,H$1)</f>
        <v/>
      </c>
      <c r="I25" s="36">
        <f>SUMIFS($E:$E,$A:$A,$G25,$B:$B,I$1)</f>
        <v/>
      </c>
      <c r="J25" s="36">
        <f>SUMIFS($E:$E,$A:$A,$G25,$B:$B,J$1)</f>
        <v/>
      </c>
      <c r="K25" s="36">
        <f>SUMIFS($E:$E,$A:$A,$G25,$B:$B,K$1)</f>
        <v/>
      </c>
      <c r="L25" s="36">
        <f>SUMIFS($E:$E,$A:$A,$G25,$B:$B,L$1)</f>
        <v/>
      </c>
      <c r="M25" s="36">
        <f>SUMIFS($E:$E,$A:$A,$G25,$B:$B,M$1)</f>
        <v/>
      </c>
      <c r="N25" s="36" t="n"/>
      <c r="O25" s="48" t="n">
        <v>2016</v>
      </c>
      <c r="P25" t="n">
        <v>0</v>
      </c>
      <c r="Q25" t="n">
        <v>0</v>
      </c>
      <c r="R25" t="n">
        <v>0</v>
      </c>
      <c r="S25" t="n">
        <v>0</v>
      </c>
      <c r="T25" t="n">
        <v>1688914.489347789</v>
      </c>
      <c r="U25" t="n">
        <v>1688914.489347789</v>
      </c>
      <c r="V25" t="n">
        <v>158311.668810058</v>
      </c>
      <c r="W25" t="n">
        <v>158311.668810058</v>
      </c>
      <c r="X25" t="n">
        <v>161929.9139580363</v>
      </c>
      <c r="Y25" t="n">
        <v>161929.9139580363</v>
      </c>
      <c r="Z25" t="n">
        <v>299922.562775732</v>
      </c>
      <c r="AA25" t="n">
        <v>299922.562775732</v>
      </c>
      <c r="AB25" t="n">
        <v>150595.0504424481</v>
      </c>
      <c r="AC25" t="n">
        <v>150595.0504424481</v>
      </c>
      <c r="AD25" t="n">
        <v>5491246.570519604</v>
      </c>
      <c r="AE25" t="n">
        <v>5491246.570519604</v>
      </c>
      <c r="AF25" t="n">
        <v>2519.712120035861</v>
      </c>
      <c r="AG25" t="n">
        <v>2519.712120035861</v>
      </c>
      <c r="AH25" t="n">
        <v>7953439.967973704</v>
      </c>
    </row>
    <row r="26">
      <c r="A26" t="n">
        <v>1998</v>
      </c>
      <c r="B26" t="inlineStr">
        <is>
          <t>Total en ARS</t>
        </is>
      </c>
      <c r="C26" t="inlineStr">
        <is>
          <t>Garantías y/o avales</t>
        </is>
      </c>
      <c r="E26">
        <f>IF(OR(Tabla3_1[[#This Row],[moneda]]="Total en ARS",Tabla3_1[[#This Row],[moneda]]="pesos"),Tabla3_1[[#This Row],[Valor]]*VLOOKUP(Tabla3_1[[#This Row],[añpo]],ipc!$A:$D,4,FALSE),Tabla3_1[[#This Row],[Valor]])</f>
        <v/>
      </c>
      <c r="G26" t="n">
        <v>2020</v>
      </c>
      <c r="H26" s="36">
        <f>SUMIFS($E:$E,$A:$A,$G26,$B:$B,H$1)</f>
        <v/>
      </c>
      <c r="I26" s="36">
        <f>SUMIFS($E:$E,$A:$A,$G26,$B:$B,I$1)</f>
        <v/>
      </c>
      <c r="J26" s="36">
        <f>SUMIFS($E:$E,$A:$A,$G26,$B:$B,J$1)</f>
        <v/>
      </c>
      <c r="K26" s="36">
        <f>SUMIFS($E:$E,$A:$A,$G26,$B:$B,K$1)</f>
        <v/>
      </c>
      <c r="L26" s="36">
        <f>SUMIFS($E:$E,$A:$A,$G26,$B:$B,L$1)</f>
        <v/>
      </c>
      <c r="M26" s="36">
        <f>SUMIFS($E:$E,$A:$A,$G26,$B:$B,M$1)</f>
        <v/>
      </c>
      <c r="N26" s="36" t="n"/>
      <c r="O26" s="48" t="n">
        <v>2017</v>
      </c>
      <c r="P26" t="n">
        <v>0</v>
      </c>
      <c r="Q26" t="n">
        <v>0</v>
      </c>
      <c r="R26" t="n">
        <v>0</v>
      </c>
      <c r="S26" t="n">
        <v>0</v>
      </c>
      <c r="T26" t="n">
        <v>1501465.614342182</v>
      </c>
      <c r="U26" t="n">
        <v>1501465.614342182</v>
      </c>
      <c r="V26" t="n">
        <v>242288.6975842899</v>
      </c>
      <c r="W26" t="n">
        <v>242288.6975842899</v>
      </c>
      <c r="X26" t="n">
        <v>240613.8305278225</v>
      </c>
      <c r="Y26" t="n">
        <v>240613.8305278225</v>
      </c>
      <c r="Z26" t="n">
        <v>389239.9895760572</v>
      </c>
      <c r="AA26" t="n">
        <v>389239.9895760572</v>
      </c>
      <c r="AB26" t="n">
        <v>201767.3750537859</v>
      </c>
      <c r="AC26" t="n">
        <v>201767.3750537859</v>
      </c>
      <c r="AD26" t="n">
        <v>5787988.005252968</v>
      </c>
      <c r="AE26" t="n">
        <v>5787988.005252968</v>
      </c>
      <c r="AF26" t="n">
        <v>2015.137748830656</v>
      </c>
      <c r="AG26" t="n">
        <v>2015.137748830656</v>
      </c>
      <c r="AH26" t="n">
        <v>8365378.650085936</v>
      </c>
    </row>
    <row r="27">
      <c r="A27" t="n">
        <v>1998</v>
      </c>
      <c r="B27" t="inlineStr">
        <is>
          <t>Total en ARS</t>
        </is>
      </c>
      <c r="C27" t="inlineStr">
        <is>
          <t>Acuerdo OSPLAD</t>
        </is>
      </c>
      <c r="E27">
        <f>IF(OR(Tabla3_1[[#This Row],[moneda]]="Total en ARS",Tabla3_1[[#This Row],[moneda]]="pesos"),Tabla3_1[[#This Row],[Valor]]*VLOOKUP(Tabla3_1[[#This Row],[añpo]],ipc!$A:$D,4,FALSE),Tabla3_1[[#This Row],[Valor]])</f>
        <v/>
      </c>
      <c r="G27" t="n">
        <v>2021</v>
      </c>
      <c r="H27" s="36">
        <f>SUMIFS($E:$E,$A:$A,$G27,$B:$B,H$1)</f>
        <v/>
      </c>
      <c r="I27" s="36">
        <f>SUMIFS($E:$E,$A:$A,$G27,$B:$B,I$1)</f>
        <v/>
      </c>
      <c r="J27" s="36">
        <f>SUMIFS($E:$E,$A:$A,$G27,$B:$B,J$1)</f>
        <v/>
      </c>
      <c r="K27" s="36">
        <f>SUMIFS($E:$E,$A:$A,$G27,$B:$B,K$1)</f>
        <v/>
      </c>
      <c r="L27" s="36">
        <f>SUMIFS($E:$E,$A:$A,$G27,$B:$B,L$1)</f>
        <v/>
      </c>
      <c r="M27" s="36">
        <f>SUMIFS($E:$E,$A:$A,$G27,$B:$B,M$1)</f>
        <v/>
      </c>
      <c r="N27" s="36" t="n"/>
      <c r="O27" s="48" t="n">
        <v>2018</v>
      </c>
      <c r="P27" t="n">
        <v>0</v>
      </c>
      <c r="Q27" t="n">
        <v>0</v>
      </c>
      <c r="R27" t="n">
        <v>66337.0827022765</v>
      </c>
      <c r="S27" t="n">
        <v>66337.0827022765</v>
      </c>
      <c r="T27" t="n">
        <v>1382724.033248828</v>
      </c>
      <c r="U27" t="n">
        <v>1382724.033248828</v>
      </c>
      <c r="V27" t="n">
        <v>333601.8886502768</v>
      </c>
      <c r="W27" t="n">
        <v>333601.8886502768</v>
      </c>
      <c r="X27" t="n">
        <v>0</v>
      </c>
      <c r="Y27" t="n">
        <v>0</v>
      </c>
      <c r="Z27" t="n">
        <v>628094.7393664198</v>
      </c>
      <c r="AA27" t="n">
        <v>628094.7393664198</v>
      </c>
      <c r="AB27" t="n">
        <v>203794.2478926285</v>
      </c>
      <c r="AC27" t="n">
        <v>203794.2478926285</v>
      </c>
      <c r="AD27" t="n">
        <v>6107479.526525505</v>
      </c>
      <c r="AE27" t="n">
        <v>6107479.526525505</v>
      </c>
      <c r="AF27" t="n">
        <v>1376.28460200731</v>
      </c>
      <c r="AG27" t="n">
        <v>1376.28460200731</v>
      </c>
      <c r="AH27" t="n">
        <v>8723407.802987942</v>
      </c>
    </row>
    <row r="28">
      <c r="A28" t="n">
        <v>1998</v>
      </c>
      <c r="B28" t="inlineStr">
        <is>
          <t>Total en ARS</t>
        </is>
      </c>
      <c r="C28" t="inlineStr">
        <is>
          <t>Préstamo ANSES - Ley 5603</t>
        </is>
      </c>
      <c r="E28">
        <f>IF(OR(Tabla3_1[[#This Row],[moneda]]="Total en ARS",Tabla3_1[[#This Row],[moneda]]="pesos"),Tabla3_1[[#This Row],[Valor]]*VLOOKUP(Tabla3_1[[#This Row],[añpo]],ipc!$A:$D,4,FALSE),Tabla3_1[[#This Row],[Valor]])</f>
        <v/>
      </c>
      <c r="G28" t="n">
        <v>2022</v>
      </c>
      <c r="H28" s="36">
        <f>SUMIFS($E:$E,$A:$A,$G28,$B:$B,H$1)</f>
        <v/>
      </c>
      <c r="I28" s="36">
        <f>SUMIFS($E:$E,$A:$A,$G28,$B:$B,I$1)</f>
        <v/>
      </c>
      <c r="J28" s="36">
        <f>SUMIFS($E:$E,$A:$A,$G28,$B:$B,J$1)</f>
        <v/>
      </c>
      <c r="K28" s="36">
        <f>SUMIFS($E:$E,$A:$A,$G28,$B:$B,K$1)</f>
        <v/>
      </c>
      <c r="L28" s="36">
        <f>SUMIFS($E:$E,$A:$A,$G28,$B:$B,L$1)</f>
        <v/>
      </c>
      <c r="M28" s="36">
        <f>SUMIFS($E:$E,$A:$A,$G28,$B:$B,M$1)</f>
        <v/>
      </c>
      <c r="N28" s="36" t="n"/>
      <c r="O28" s="48" t="n">
        <v>2019</v>
      </c>
      <c r="P28" t="n">
        <v>0</v>
      </c>
      <c r="Q28" t="n">
        <v>0</v>
      </c>
      <c r="R28" t="n">
        <v>41759.79355169401</v>
      </c>
      <c r="S28" t="n">
        <v>41759.79355169401</v>
      </c>
      <c r="T28" t="n">
        <v>1181057.675319632</v>
      </c>
      <c r="U28" t="n">
        <v>1181057.675319632</v>
      </c>
      <c r="V28" t="n">
        <v>316415.0758968173</v>
      </c>
      <c r="W28" t="n">
        <v>316415.0758968173</v>
      </c>
      <c r="X28" t="n">
        <v>0</v>
      </c>
      <c r="Y28" t="n">
        <v>0</v>
      </c>
      <c r="Z28" t="n">
        <v>1052144.298270091</v>
      </c>
      <c r="AA28" t="n">
        <v>1052144.298270091</v>
      </c>
      <c r="AB28" t="n">
        <v>210858.5330036431</v>
      </c>
      <c r="AC28" t="n">
        <v>210858.5330036431</v>
      </c>
      <c r="AD28" t="n">
        <v>6138344.310462363</v>
      </c>
      <c r="AE28" t="n">
        <v>6138344.310462363</v>
      </c>
      <c r="AF28" t="n">
        <v>894.6649626267792</v>
      </c>
      <c r="AG28" t="n">
        <v>894.6649626267792</v>
      </c>
      <c r="AH28" t="n">
        <v>8941474.351466868</v>
      </c>
    </row>
    <row r="29">
      <c r="A29" t="n">
        <v>1999</v>
      </c>
      <c r="B29" t="inlineStr">
        <is>
          <t>Total en ARS</t>
        </is>
      </c>
      <c r="C29" t="inlineStr">
        <is>
          <t>Proveedores y Contratistas</t>
        </is>
      </c>
      <c r="D29" t="n">
        <v>825.6599999999999</v>
      </c>
      <c r="E29">
        <f>IF(OR(Tabla3_1[[#This Row],[moneda]]="Total en ARS",Tabla3_1[[#This Row],[moneda]]="pesos"),Tabla3_1[[#This Row],[Valor]]*VLOOKUP(Tabla3_1[[#This Row],[añpo]],ipc!$A:$D,4,FALSE),Tabla3_1[[#This Row],[Valor]])</f>
        <v/>
      </c>
      <c r="G29" t="n">
        <v>2023</v>
      </c>
      <c r="H29" s="36">
        <f>SUMIFS($E:$E,$A:$A,$G29,$B:$B,H$1)</f>
        <v/>
      </c>
      <c r="I29" s="36">
        <f>SUMIFS($E:$E,$A:$A,$G29,$B:$B,I$1)</f>
        <v/>
      </c>
      <c r="J29" s="36">
        <f>SUMIFS($E:$E,$A:$A,$G29,$B:$B,J$1)</f>
        <v/>
      </c>
      <c r="K29" s="36">
        <f>SUMIFS($E:$E,$A:$A,$G29,$B:$B,K$1)</f>
        <v/>
      </c>
      <c r="L29" s="36">
        <f>SUMIFS($E:$E,$A:$A,$G29,$B:$B,L$1)</f>
        <v/>
      </c>
      <c r="M29" s="36">
        <f>SUMIFS($E:$E,$A:$A,$G29,$B:$B,M$1)</f>
        <v/>
      </c>
      <c r="N29" s="36" t="n"/>
      <c r="O29" s="48" t="n">
        <v>2020</v>
      </c>
      <c r="P29" t="n">
        <v>0</v>
      </c>
      <c r="Q29" t="n">
        <v>0</v>
      </c>
      <c r="R29" t="n">
        <v>39619.88075063231</v>
      </c>
      <c r="S29" t="n">
        <v>39619.88075063231</v>
      </c>
      <c r="T29" t="n">
        <v>1222626.094142279</v>
      </c>
      <c r="U29" t="n">
        <v>1222626.094142279</v>
      </c>
      <c r="V29" t="n">
        <v>299922.0503808004</v>
      </c>
      <c r="W29" t="n">
        <v>299922.0503808004</v>
      </c>
      <c r="X29" t="n">
        <v>0</v>
      </c>
      <c r="Y29" t="n">
        <v>0</v>
      </c>
      <c r="Z29" t="n">
        <v>1205132.15351424</v>
      </c>
      <c r="AA29" t="n">
        <v>1205132.15351424</v>
      </c>
      <c r="AB29" t="n">
        <v>158335.962131994</v>
      </c>
      <c r="AC29" t="n">
        <v>158335.962131994</v>
      </c>
      <c r="AD29" t="n">
        <v>6478333.55487543</v>
      </c>
      <c r="AE29" t="n">
        <v>6478333.55487543</v>
      </c>
      <c r="AF29" t="n">
        <v>0</v>
      </c>
      <c r="AG29" t="n">
        <v>0</v>
      </c>
      <c r="AH29" t="n">
        <v>9403969.695795376</v>
      </c>
    </row>
    <row r="30">
      <c r="A30" t="n">
        <v>1999</v>
      </c>
      <c r="B30" t="inlineStr">
        <is>
          <t>Total en ARS</t>
        </is>
      </c>
      <c r="C30" t="inlineStr">
        <is>
          <t>Deuda previsional</t>
        </is>
      </c>
      <c r="D30" t="n">
        <v>201.7</v>
      </c>
      <c r="E30">
        <f>IF(OR(Tabla3_1[[#This Row],[moneda]]="Total en ARS",Tabla3_1[[#This Row],[moneda]]="pesos"),Tabla3_1[[#This Row],[Valor]]*VLOOKUP(Tabla3_1[[#This Row],[añpo]],ipc!$A:$D,4,FALSE),Tabla3_1[[#This Row],[Valor]])</f>
        <v/>
      </c>
      <c r="G30" t="n">
        <v>2024</v>
      </c>
      <c r="H30" s="36">
        <f>SUMIFS($E:$E,$A:$A,$G30,$B:$B,H$1)</f>
        <v/>
      </c>
      <c r="I30" s="36">
        <f>SUMIFS($E:$E,$A:$A,$G30,$B:$B,I$1)</f>
        <v/>
      </c>
      <c r="J30" s="36">
        <f>SUMIFS($E:$E,$A:$A,$G30,$B:$B,J$1)</f>
        <v/>
      </c>
      <c r="K30" s="36">
        <f>SUMIFS($E:$E,$A:$A,$G30,$B:$B,K$1)</f>
        <v/>
      </c>
      <c r="L30" s="36">
        <f>SUMIFS($E:$E,$A:$A,$G30,$B:$B,L$1)</f>
        <v/>
      </c>
      <c r="M30" s="36">
        <f>SUMIFS($E:$E,$A:$A,$G30,$B:$B,M$1)</f>
        <v/>
      </c>
      <c r="N30" s="36" t="n"/>
      <c r="O30" s="48" t="n">
        <v>2021</v>
      </c>
      <c r="P30" t="n">
        <v>0</v>
      </c>
      <c r="Q30" t="n">
        <v>0</v>
      </c>
      <c r="R30" t="n">
        <v>37760.7566839207</v>
      </c>
      <c r="S30" t="n">
        <v>37760.7566839207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862666.2711882419</v>
      </c>
      <c r="AA30" t="n">
        <v>862666.2711882419</v>
      </c>
      <c r="AB30" t="n">
        <v>100517.7635213313</v>
      </c>
      <c r="AC30" t="n">
        <v>100517.7635213313</v>
      </c>
      <c r="AD30" t="n">
        <v>3590336.125169985</v>
      </c>
      <c r="AE30" t="n">
        <v>3590336.125169985</v>
      </c>
      <c r="AF30" t="n">
        <v>0</v>
      </c>
      <c r="AG30" t="n">
        <v>0</v>
      </c>
      <c r="AH30" t="n">
        <v>4591280.916563478</v>
      </c>
    </row>
    <row r="31">
      <c r="A31" t="n">
        <v>1999</v>
      </c>
      <c r="B31" t="inlineStr">
        <is>
          <t>Total en ARS</t>
        </is>
      </c>
      <c r="C31" t="inlineStr">
        <is>
          <t>Títulos públicos</t>
        </is>
      </c>
      <c r="D31" t="n">
        <v>62</v>
      </c>
      <c r="E31">
        <f>IF(OR(Tabla3_1[[#This Row],[moneda]]="Total en ARS",Tabla3_1[[#This Row],[moneda]]="pesos"),Tabla3_1[[#This Row],[Valor]]*VLOOKUP(Tabla3_1[[#This Row],[añpo]],ipc!$A:$D,4,FALSE),Tabla3_1[[#This Row],[Valor]])</f>
        <v/>
      </c>
      <c r="O31" s="48" t="n">
        <v>2022</v>
      </c>
      <c r="P31" t="n">
        <v>0</v>
      </c>
      <c r="Q31" t="n">
        <v>0</v>
      </c>
      <c r="R31" t="n">
        <v>34816.82819610037</v>
      </c>
      <c r="S31" t="n">
        <v>34816.82819610037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788126.4231733031</v>
      </c>
      <c r="AA31" t="n">
        <v>788126.4231733031</v>
      </c>
      <c r="AB31" t="n">
        <v>18542.56324026872</v>
      </c>
      <c r="AC31" t="n">
        <v>18542.56324026872</v>
      </c>
      <c r="AD31" t="n">
        <v>2467435.09073575</v>
      </c>
      <c r="AE31" t="n">
        <v>2467435.09073575</v>
      </c>
      <c r="AF31" t="n">
        <v>0</v>
      </c>
      <c r="AG31" t="n">
        <v>0</v>
      </c>
      <c r="AH31" t="n">
        <v>3308920.905345422</v>
      </c>
    </row>
    <row r="32">
      <c r="A32" t="n">
        <v>1999</v>
      </c>
      <c r="B32" t="inlineStr">
        <is>
          <t>Total en ARS</t>
        </is>
      </c>
      <c r="C32" t="inlineStr">
        <is>
          <t>Letras del Tesoro Ley 3395 art. 2</t>
        </is>
      </c>
      <c r="E32">
        <f>IF(OR(Tabla3_1[[#This Row],[moneda]]="Total en ARS",Tabla3_1[[#This Row],[moneda]]="pesos"),Tabla3_1[[#This Row],[Valor]]*VLOOKUP(Tabla3_1[[#This Row],[añpo]],ipc!$A:$D,4,FALSE),Tabla3_1[[#This Row],[Valor]])</f>
        <v/>
      </c>
      <c r="O32" s="48" t="n">
        <v>2023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1171847.6352</v>
      </c>
      <c r="AA32" t="n">
        <v>1171847.6352</v>
      </c>
      <c r="AB32" t="n">
        <v>0</v>
      </c>
      <c r="AC32" t="n">
        <v>0</v>
      </c>
      <c r="AD32" t="n">
        <v>2911699.3752</v>
      </c>
      <c r="AE32" t="n">
        <v>2911699.3752</v>
      </c>
      <c r="AF32" t="n">
        <v>0</v>
      </c>
      <c r="AG32" t="n">
        <v>0</v>
      </c>
      <c r="AH32" t="n">
        <v>4083547.0104</v>
      </c>
    </row>
    <row r="33">
      <c r="A33" t="n">
        <v>1999</v>
      </c>
      <c r="B33" t="inlineStr">
        <is>
          <t>Total en ARS</t>
        </is>
      </c>
      <c r="C33" t="inlineStr">
        <is>
          <t xml:space="preserve">Deuda financiera </t>
        </is>
      </c>
      <c r="D33" t="n">
        <v>49.3</v>
      </c>
      <c r="E33">
        <f>IF(OR(Tabla3_1[[#This Row],[moneda]]="Total en ARS",Tabla3_1[[#This Row],[moneda]]="pesos"),Tabla3_1[[#This Row],[Valor]]*VLOOKUP(Tabla3_1[[#This Row],[añpo]],ipc!$A:$D,4,FALSE),Tabla3_1[[#This Row],[Valor]])</f>
        <v/>
      </c>
      <c r="O33" s="48" t="n">
        <v>2024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646170.1</v>
      </c>
      <c r="AA33" t="n">
        <v>646170.1</v>
      </c>
      <c r="AB33" t="n">
        <v>0</v>
      </c>
      <c r="AC33" t="n">
        <v>0</v>
      </c>
      <c r="AD33" t="n">
        <v>1618579.4</v>
      </c>
      <c r="AE33" t="n">
        <v>1618579.4</v>
      </c>
      <c r="AF33" t="n">
        <v>0</v>
      </c>
      <c r="AG33" t="n">
        <v>0</v>
      </c>
      <c r="AH33" t="n">
        <v>2264749.5</v>
      </c>
    </row>
    <row r="34">
      <c r="A34" t="n">
        <v>1999</v>
      </c>
      <c r="B34" t="inlineStr">
        <is>
          <t>Total en ARS</t>
        </is>
      </c>
      <c r="C34" t="inlineStr">
        <is>
          <t>Organismos internacionales de crédito</t>
        </is>
      </c>
      <c r="D34" t="n">
        <v>23.76</v>
      </c>
      <c r="E34">
        <f>IF(OR(Tabla3_1[[#This Row],[moneda]]="Total en ARS",Tabla3_1[[#This Row],[moneda]]="pesos"),Tabla3_1[[#This Row],[Valor]]*VLOOKUP(Tabla3_1[[#This Row],[añpo]],ipc!$A:$D,4,FALSE),Tabla3_1[[#This Row],[Valor]])</f>
        <v/>
      </c>
      <c r="O34" s="48" t="inlineStr">
        <is>
          <t>Total general</t>
        </is>
      </c>
      <c r="P34" t="n">
        <v>37524.36058892924</v>
      </c>
      <c r="Q34" t="n">
        <v>37524.36058892924</v>
      </c>
      <c r="R34" t="n">
        <v>1762040.095268015</v>
      </c>
      <c r="S34" t="n">
        <v>1762040.095268015</v>
      </c>
      <c r="T34" t="n">
        <v>22876972.85650225</v>
      </c>
      <c r="U34" t="n">
        <v>22876972.85650225</v>
      </c>
      <c r="V34" t="n">
        <v>1527991.119563305</v>
      </c>
      <c r="W34" t="n">
        <v>1527991.119563305</v>
      </c>
      <c r="X34" t="n">
        <v>1164309.745480847</v>
      </c>
      <c r="Y34" t="n">
        <v>1164309.745480847</v>
      </c>
      <c r="Z34" t="n">
        <v>11346537.08085368</v>
      </c>
      <c r="AA34" t="n">
        <v>11346537.08085368</v>
      </c>
      <c r="AB34" t="n">
        <v>1044411.4952861</v>
      </c>
      <c r="AC34" t="n">
        <v>1044411.4952861</v>
      </c>
      <c r="AD34" t="n">
        <v>84963239.64746195</v>
      </c>
      <c r="AE34" t="n">
        <v>84963239.64746195</v>
      </c>
      <c r="AF34" t="n">
        <v>754032.6032920107</v>
      </c>
      <c r="AG34" t="n">
        <v>754032.6032920107</v>
      </c>
      <c r="AH34" t="n">
        <v>125477059.0042971</v>
      </c>
    </row>
    <row r="35">
      <c r="A35" t="n">
        <v>1999</v>
      </c>
      <c r="B35" t="inlineStr">
        <is>
          <t>Total en ARS</t>
        </is>
      </c>
      <c r="C35" t="inlineStr">
        <is>
          <t>Garantías y/o avales</t>
        </is>
      </c>
      <c r="E35">
        <f>IF(OR(Tabla3_1[[#This Row],[moneda]]="Total en ARS",Tabla3_1[[#This Row],[moneda]]="pesos"),Tabla3_1[[#This Row],[Valor]]*VLOOKUP(Tabla3_1[[#This Row],[añpo]],ipc!$A:$D,4,FALSE),Tabla3_1[[#This Row],[Valor]])</f>
        <v/>
      </c>
    </row>
    <row r="36">
      <c r="A36" t="n">
        <v>1999</v>
      </c>
      <c r="B36" t="inlineStr">
        <is>
          <t>Total en ARS</t>
        </is>
      </c>
      <c r="C36" t="inlineStr">
        <is>
          <t>Acuerdo OSPLAD</t>
        </is>
      </c>
      <c r="E36">
        <f>IF(OR(Tabla3_1[[#This Row],[moneda]]="Total en ARS",Tabla3_1[[#This Row],[moneda]]="pesos"),Tabla3_1[[#This Row],[Valor]]*VLOOKUP(Tabla3_1[[#This Row],[añpo]],ipc!$A:$D,4,FALSE),Tabla3_1[[#This Row],[Valor]])</f>
        <v/>
      </c>
    </row>
    <row r="37">
      <c r="A37" t="n">
        <v>1999</v>
      </c>
      <c r="B37" t="inlineStr">
        <is>
          <t>Total en ARS</t>
        </is>
      </c>
      <c r="C37" t="inlineStr">
        <is>
          <t>Préstamo ANSES - Ley 5603</t>
        </is>
      </c>
      <c r="E37">
        <f>IF(OR(Tabla3_1[[#This Row],[moneda]]="Total en ARS",Tabla3_1[[#This Row],[moneda]]="pesos"),Tabla3_1[[#This Row],[Valor]]*VLOOKUP(Tabla3_1[[#This Row],[añpo]],ipc!$A:$D,4,FALSE),Tabla3_1[[#This Row],[Valor]])</f>
        <v/>
      </c>
    </row>
    <row r="38">
      <c r="A38" t="n">
        <v>2000</v>
      </c>
      <c r="B38" t="inlineStr">
        <is>
          <t>Total en ARS</t>
        </is>
      </c>
      <c r="C38" t="inlineStr">
        <is>
          <t>Proveedores y Contratistas</t>
        </is>
      </c>
      <c r="D38" t="n">
        <v>1201.86</v>
      </c>
      <c r="E38">
        <f>IF(OR(Tabla3_1[[#This Row],[moneda]]="Total en ARS",Tabla3_1[[#This Row],[moneda]]="pesos"),Tabla3_1[[#This Row],[Valor]]*VLOOKUP(Tabla3_1[[#This Row],[añpo]],ipc!$A:$D,4,FALSE),Tabla3_1[[#This Row],[Valor]])</f>
        <v/>
      </c>
    </row>
    <row r="39">
      <c r="A39" t="n">
        <v>2000</v>
      </c>
      <c r="B39" t="inlineStr">
        <is>
          <t>Total en ARS</t>
        </is>
      </c>
      <c r="C39" t="inlineStr">
        <is>
          <t>Deuda previsional</t>
        </is>
      </c>
      <c r="D39" t="n">
        <v>483.73</v>
      </c>
      <c r="E39">
        <f>IF(OR(Tabla3_1[[#This Row],[moneda]]="Total en ARS",Tabla3_1[[#This Row],[moneda]]="pesos"),Tabla3_1[[#This Row],[Valor]]*VLOOKUP(Tabla3_1[[#This Row],[añpo]],ipc!$A:$D,4,FALSE),Tabla3_1[[#This Row],[Valor]])</f>
        <v/>
      </c>
    </row>
    <row r="40">
      <c r="A40" t="n">
        <v>2000</v>
      </c>
      <c r="B40" t="inlineStr">
        <is>
          <t>Total en ARS</t>
        </is>
      </c>
      <c r="C40" t="inlineStr">
        <is>
          <t>Títulos públicos</t>
        </is>
      </c>
      <c r="D40" t="n">
        <v>96.90000000000001</v>
      </c>
      <c r="E40">
        <f>IF(OR(Tabla3_1[[#This Row],[moneda]]="Total en ARS",Tabla3_1[[#This Row],[moneda]]="pesos"),Tabla3_1[[#This Row],[Valor]]*VLOOKUP(Tabla3_1[[#This Row],[añpo]],ipc!$A:$D,4,FALSE),Tabla3_1[[#This Row],[Valor]])</f>
        <v/>
      </c>
    </row>
    <row r="41">
      <c r="A41" t="n">
        <v>2000</v>
      </c>
      <c r="B41" t="inlineStr">
        <is>
          <t>Total en ARS</t>
        </is>
      </c>
      <c r="C41" t="inlineStr">
        <is>
          <t>Letras del Tesoro Ley 3395 art. 2</t>
        </is>
      </c>
      <c r="E41">
        <f>IF(OR(Tabla3_1[[#This Row],[moneda]]="Total en ARS",Tabla3_1[[#This Row],[moneda]]="pesos"),Tabla3_1[[#This Row],[Valor]]*VLOOKUP(Tabla3_1[[#This Row],[añpo]],ipc!$A:$D,4,FALSE),Tabla3_1[[#This Row],[Valor]])</f>
        <v/>
      </c>
    </row>
    <row r="42">
      <c r="A42" t="n">
        <v>2000</v>
      </c>
      <c r="B42" t="inlineStr">
        <is>
          <t>Total en ARS</t>
        </is>
      </c>
      <c r="C42" t="inlineStr">
        <is>
          <t xml:space="preserve">Deuda financiera </t>
        </is>
      </c>
      <c r="D42" t="n">
        <v>13.81</v>
      </c>
      <c r="E42">
        <f>IF(OR(Tabla3_1[[#This Row],[moneda]]="Total en ARS",Tabla3_1[[#This Row],[moneda]]="pesos"),Tabla3_1[[#This Row],[Valor]]*VLOOKUP(Tabla3_1[[#This Row],[añpo]],ipc!$A:$D,4,FALSE),Tabla3_1[[#This Row],[Valor]])</f>
        <v/>
      </c>
    </row>
    <row r="43">
      <c r="A43" t="n">
        <v>2000</v>
      </c>
      <c r="B43" t="inlineStr">
        <is>
          <t>Total en ARS</t>
        </is>
      </c>
      <c r="C43" t="inlineStr">
        <is>
          <t>Organismos internacionales de crédito</t>
        </is>
      </c>
      <c r="D43" t="n">
        <v>45.22</v>
      </c>
      <c r="E43">
        <f>IF(OR(Tabla3_1[[#This Row],[moneda]]="Total en ARS",Tabla3_1[[#This Row],[moneda]]="pesos"),Tabla3_1[[#This Row],[Valor]]*VLOOKUP(Tabla3_1[[#This Row],[añpo]],ipc!$A:$D,4,FALSE),Tabla3_1[[#This Row],[Valor]])</f>
        <v/>
      </c>
    </row>
    <row r="44">
      <c r="A44" t="n">
        <v>2000</v>
      </c>
      <c r="B44" t="inlineStr">
        <is>
          <t>Total en ARS</t>
        </is>
      </c>
      <c r="C44" t="inlineStr">
        <is>
          <t>Garantías y/o avales</t>
        </is>
      </c>
      <c r="E44">
        <f>IF(OR(Tabla3_1[[#This Row],[moneda]]="Total en ARS",Tabla3_1[[#This Row],[moneda]]="pesos"),Tabla3_1[[#This Row],[Valor]]*VLOOKUP(Tabla3_1[[#This Row],[añpo]],ipc!$A:$D,4,FALSE),Tabla3_1[[#This Row],[Valor]])</f>
        <v/>
      </c>
    </row>
    <row r="45">
      <c r="A45" t="n">
        <v>2000</v>
      </c>
      <c r="B45" t="inlineStr">
        <is>
          <t>Total en ARS</t>
        </is>
      </c>
      <c r="C45" t="inlineStr">
        <is>
          <t>Acuerdo OSPLAD</t>
        </is>
      </c>
      <c r="E45">
        <f>IF(OR(Tabla3_1[[#This Row],[moneda]]="Total en ARS",Tabla3_1[[#This Row],[moneda]]="pesos"),Tabla3_1[[#This Row],[Valor]]*VLOOKUP(Tabla3_1[[#This Row],[añpo]],ipc!$A:$D,4,FALSE),Tabla3_1[[#This Row],[Valor]])</f>
        <v/>
      </c>
    </row>
    <row r="46">
      <c r="A46" t="n">
        <v>2000</v>
      </c>
      <c r="B46" t="inlineStr">
        <is>
          <t>Total en ARS</t>
        </is>
      </c>
      <c r="C46" t="inlineStr">
        <is>
          <t>Préstamo ANSES - Ley 5603</t>
        </is>
      </c>
      <c r="E46">
        <f>IF(OR(Tabla3_1[[#This Row],[moneda]]="Total en ARS",Tabla3_1[[#This Row],[moneda]]="pesos"),Tabla3_1[[#This Row],[Valor]]*VLOOKUP(Tabla3_1[[#This Row],[añpo]],ipc!$A:$D,4,FALSE),Tabla3_1[[#This Row],[Valor]])</f>
        <v/>
      </c>
    </row>
    <row r="47">
      <c r="A47" t="n">
        <v>2001</v>
      </c>
      <c r="B47" t="inlineStr">
        <is>
          <t>Total en ARS</t>
        </is>
      </c>
      <c r="C47" t="inlineStr">
        <is>
          <t>Proveedores y Contratistas</t>
        </is>
      </c>
      <c r="D47" t="n">
        <v>1438.73</v>
      </c>
      <c r="E47">
        <f>IF(OR(Tabla3_1[[#This Row],[moneda]]="Total en ARS",Tabla3_1[[#This Row],[moneda]]="pesos"),Tabla3_1[[#This Row],[Valor]]*VLOOKUP(Tabla3_1[[#This Row],[añpo]],ipc!$A:$D,4,FALSE),Tabla3_1[[#This Row],[Valor]])</f>
        <v/>
      </c>
    </row>
    <row r="48">
      <c r="A48" t="n">
        <v>2001</v>
      </c>
      <c r="B48" t="inlineStr">
        <is>
          <t>Total en ARS</t>
        </is>
      </c>
      <c r="C48" t="inlineStr">
        <is>
          <t>Deuda previsional</t>
        </is>
      </c>
      <c r="D48" t="n">
        <v>655.35</v>
      </c>
      <c r="E48">
        <f>IF(OR(Tabla3_1[[#This Row],[moneda]]="Total en ARS",Tabla3_1[[#This Row],[moneda]]="pesos"),Tabla3_1[[#This Row],[Valor]]*VLOOKUP(Tabla3_1[[#This Row],[añpo]],ipc!$A:$D,4,FALSE),Tabla3_1[[#This Row],[Valor]])</f>
        <v/>
      </c>
    </row>
    <row r="49">
      <c r="A49" t="n">
        <v>2001</v>
      </c>
      <c r="B49" t="inlineStr">
        <is>
          <t>Total en ARS</t>
        </is>
      </c>
      <c r="C49" t="inlineStr">
        <is>
          <t>Títulos públicos</t>
        </is>
      </c>
      <c r="D49" t="n">
        <v>89.09</v>
      </c>
      <c r="E49">
        <f>IF(OR(Tabla3_1[[#This Row],[moneda]]="Total en ARS",Tabla3_1[[#This Row],[moneda]]="pesos"),Tabla3_1[[#This Row],[Valor]]*VLOOKUP(Tabla3_1[[#This Row],[añpo]],ipc!$A:$D,4,FALSE),Tabla3_1[[#This Row],[Valor]])</f>
        <v/>
      </c>
    </row>
    <row r="50">
      <c r="A50" t="n">
        <v>2001</v>
      </c>
      <c r="B50" t="inlineStr">
        <is>
          <t>Total en ARS</t>
        </is>
      </c>
      <c r="C50" t="inlineStr">
        <is>
          <t>Letras del Tesoro Ley 3395 art. 2</t>
        </is>
      </c>
      <c r="E50">
        <f>IF(OR(Tabla3_1[[#This Row],[moneda]]="Total en ARS",Tabla3_1[[#This Row],[moneda]]="pesos"),Tabla3_1[[#This Row],[Valor]]*VLOOKUP(Tabla3_1[[#This Row],[añpo]],ipc!$A:$D,4,FALSE),Tabla3_1[[#This Row],[Valor]])</f>
        <v/>
      </c>
    </row>
    <row r="51">
      <c r="A51" t="n">
        <v>2001</v>
      </c>
      <c r="B51" t="inlineStr">
        <is>
          <t>Total en ARS</t>
        </is>
      </c>
      <c r="C51" t="inlineStr">
        <is>
          <t xml:space="preserve">Deuda financiera </t>
        </is>
      </c>
      <c r="D51" t="n">
        <v>76.95999999999999</v>
      </c>
      <c r="E51">
        <f>IF(OR(Tabla3_1[[#This Row],[moneda]]="Total en ARS",Tabla3_1[[#This Row],[moneda]]="pesos"),Tabla3_1[[#This Row],[Valor]]*VLOOKUP(Tabla3_1[[#This Row],[añpo]],ipc!$A:$D,4,FALSE),Tabla3_1[[#This Row],[Valor]])</f>
        <v/>
      </c>
    </row>
    <row r="52">
      <c r="A52" t="n">
        <v>2001</v>
      </c>
      <c r="B52" t="inlineStr">
        <is>
          <t>Total en ARS</t>
        </is>
      </c>
      <c r="C52" t="inlineStr">
        <is>
          <t>Organismos internacionales de crédito</t>
        </is>
      </c>
      <c r="D52" t="n">
        <v>55.13</v>
      </c>
      <c r="E52">
        <f>IF(OR(Tabla3_1[[#This Row],[moneda]]="Total en ARS",Tabla3_1[[#This Row],[moneda]]="pesos"),Tabla3_1[[#This Row],[Valor]]*VLOOKUP(Tabla3_1[[#This Row],[añpo]],ipc!$A:$D,4,FALSE),Tabla3_1[[#This Row],[Valor]])</f>
        <v/>
      </c>
    </row>
    <row r="53">
      <c r="A53" t="n">
        <v>2001</v>
      </c>
      <c r="B53" t="inlineStr">
        <is>
          <t>Total en ARS</t>
        </is>
      </c>
      <c r="C53" t="inlineStr">
        <is>
          <t>Garantías y/o avales</t>
        </is>
      </c>
      <c r="E53">
        <f>IF(OR(Tabla3_1[[#This Row],[moneda]]="Total en ARS",Tabla3_1[[#This Row],[moneda]]="pesos"),Tabla3_1[[#This Row],[Valor]]*VLOOKUP(Tabla3_1[[#This Row],[añpo]],ipc!$A:$D,4,FALSE),Tabla3_1[[#This Row],[Valor]])</f>
        <v/>
      </c>
    </row>
    <row r="54">
      <c r="A54" t="n">
        <v>2001</v>
      </c>
      <c r="B54" t="inlineStr">
        <is>
          <t>Total en ARS</t>
        </is>
      </c>
      <c r="C54" t="inlineStr">
        <is>
          <t>Acuerdo OSPLAD</t>
        </is>
      </c>
      <c r="E54">
        <f>IF(OR(Tabla3_1[[#This Row],[moneda]]="Total en ARS",Tabla3_1[[#This Row],[moneda]]="pesos"),Tabla3_1[[#This Row],[Valor]]*VLOOKUP(Tabla3_1[[#This Row],[añpo]],ipc!$A:$D,4,FALSE),Tabla3_1[[#This Row],[Valor]])</f>
        <v/>
      </c>
    </row>
    <row r="55">
      <c r="A55" t="n">
        <v>2001</v>
      </c>
      <c r="B55" t="inlineStr">
        <is>
          <t>Total en ARS</t>
        </is>
      </c>
      <c r="C55" t="inlineStr">
        <is>
          <t>Préstamo ANSES - Ley 5603</t>
        </is>
      </c>
      <c r="E55">
        <f>IF(OR(Tabla3_1[[#This Row],[moneda]]="Total en ARS",Tabla3_1[[#This Row],[moneda]]="pesos"),Tabla3_1[[#This Row],[Valor]]*VLOOKUP(Tabla3_1[[#This Row],[añpo]],ipc!$A:$D,4,FALSE),Tabla3_1[[#This Row],[Valor]])</f>
        <v/>
      </c>
    </row>
    <row r="56">
      <c r="A56" t="n">
        <v>2002</v>
      </c>
      <c r="B56" t="inlineStr">
        <is>
          <t>Total en ARS</t>
        </is>
      </c>
      <c r="C56" t="inlineStr">
        <is>
          <t>Proveedores y Contratistas</t>
        </is>
      </c>
      <c r="D56" t="n">
        <v>2928.0004</v>
      </c>
      <c r="E56">
        <f>IF(OR(Tabla3_1[[#This Row],[moneda]]="Total en ARS",Tabla3_1[[#This Row],[moneda]]="pesos"),Tabla3_1[[#This Row],[Valor]]*VLOOKUP(Tabla3_1[[#This Row],[añpo]],ipc!$A:$D,4,FALSE),Tabla3_1[[#This Row],[Valor]])</f>
        <v/>
      </c>
    </row>
    <row r="57">
      <c r="A57" t="n">
        <v>2002</v>
      </c>
      <c r="B57" t="inlineStr">
        <is>
          <t>Total en ARS</t>
        </is>
      </c>
      <c r="C57" t="inlineStr">
        <is>
          <t>Deuda previsional</t>
        </is>
      </c>
      <c r="D57" t="n">
        <v>665.2</v>
      </c>
      <c r="E57">
        <f>IF(OR(Tabla3_1[[#This Row],[moneda]]="Total en ARS",Tabla3_1[[#This Row],[moneda]]="pesos"),Tabla3_1[[#This Row],[Valor]]*VLOOKUP(Tabla3_1[[#This Row],[añpo]],ipc!$A:$D,4,FALSE),Tabla3_1[[#This Row],[Valor]])</f>
        <v/>
      </c>
    </row>
    <row r="58">
      <c r="A58" t="n">
        <v>2002</v>
      </c>
      <c r="B58" t="inlineStr">
        <is>
          <t>Total en ARS</t>
        </is>
      </c>
      <c r="C58" t="inlineStr">
        <is>
          <t>Títulos públicos</t>
        </is>
      </c>
      <c r="D58" t="n">
        <v>87.88</v>
      </c>
      <c r="E58">
        <f>IF(OR(Tabla3_1[[#This Row],[moneda]]="Total en ARS",Tabla3_1[[#This Row],[moneda]]="pesos"),Tabla3_1[[#This Row],[Valor]]*VLOOKUP(Tabla3_1[[#This Row],[añpo]],ipc!$A:$D,4,FALSE),Tabla3_1[[#This Row],[Valor]])</f>
        <v/>
      </c>
    </row>
    <row r="59">
      <c r="A59" t="n">
        <v>2002</v>
      </c>
      <c r="B59" t="inlineStr">
        <is>
          <t>Total en ARS</t>
        </is>
      </c>
      <c r="C59" t="inlineStr">
        <is>
          <t>Letras del Tesoro Ley 3395 art. 2</t>
        </is>
      </c>
      <c r="E59">
        <f>IF(OR(Tabla3_1[[#This Row],[moneda]]="Total en ARS",Tabla3_1[[#This Row],[moneda]]="pesos"),Tabla3_1[[#This Row],[Valor]]*VLOOKUP(Tabla3_1[[#This Row],[añpo]],ipc!$A:$D,4,FALSE),Tabla3_1[[#This Row],[Valor]])</f>
        <v/>
      </c>
    </row>
    <row r="60">
      <c r="A60" t="n">
        <v>2002</v>
      </c>
      <c r="B60" t="inlineStr">
        <is>
          <t>Total en ARS</t>
        </is>
      </c>
      <c r="C60" t="inlineStr">
        <is>
          <t xml:space="preserve">Deuda financiera </t>
        </is>
      </c>
      <c r="D60" t="n">
        <v>11.96</v>
      </c>
      <c r="E60">
        <f>IF(OR(Tabla3_1[[#This Row],[moneda]]="Total en ARS",Tabla3_1[[#This Row],[moneda]]="pesos"),Tabla3_1[[#This Row],[Valor]]*VLOOKUP(Tabla3_1[[#This Row],[añpo]],ipc!$A:$D,4,FALSE),Tabla3_1[[#This Row],[Valor]])</f>
        <v/>
      </c>
    </row>
    <row r="61">
      <c r="A61" t="n">
        <v>2002</v>
      </c>
      <c r="B61" t="inlineStr">
        <is>
          <t>Total en ARS</t>
        </is>
      </c>
      <c r="C61" t="inlineStr">
        <is>
          <t>Organismos internacionales de crédito</t>
        </is>
      </c>
      <c r="D61" t="n">
        <v>316.7808000000001</v>
      </c>
      <c r="E61">
        <f>IF(OR(Tabla3_1[[#This Row],[moneda]]="Total en ARS",Tabla3_1[[#This Row],[moneda]]="pesos"),Tabla3_1[[#This Row],[Valor]]*VLOOKUP(Tabla3_1[[#This Row],[añpo]],ipc!$A:$D,4,FALSE),Tabla3_1[[#This Row],[Valor]])</f>
        <v/>
      </c>
    </row>
    <row r="62">
      <c r="A62" t="n">
        <v>2002</v>
      </c>
      <c r="B62" t="inlineStr">
        <is>
          <t>Total en ARS</t>
        </is>
      </c>
      <c r="C62" t="inlineStr">
        <is>
          <t>Garantías y/o avales</t>
        </is>
      </c>
      <c r="E62">
        <f>IF(OR(Tabla3_1[[#This Row],[moneda]]="Total en ARS",Tabla3_1[[#This Row],[moneda]]="pesos"),Tabla3_1[[#This Row],[Valor]]*VLOOKUP(Tabla3_1[[#This Row],[añpo]],ipc!$A:$D,4,FALSE),Tabla3_1[[#This Row],[Valor]])</f>
        <v/>
      </c>
    </row>
    <row r="63">
      <c r="A63" t="n">
        <v>2002</v>
      </c>
      <c r="B63" t="inlineStr">
        <is>
          <t>Total en ARS</t>
        </is>
      </c>
      <c r="C63" t="inlineStr">
        <is>
          <t>Acuerdo OSPLAD</t>
        </is>
      </c>
      <c r="E63">
        <f>IF(OR(Tabla3_1[[#This Row],[moneda]]="Total en ARS",Tabla3_1[[#This Row],[moneda]]="pesos"),Tabla3_1[[#This Row],[Valor]]*VLOOKUP(Tabla3_1[[#This Row],[añpo]],ipc!$A:$D,4,FALSE),Tabla3_1[[#This Row],[Valor]])</f>
        <v/>
      </c>
    </row>
    <row r="64">
      <c r="A64" t="n">
        <v>2002</v>
      </c>
      <c r="B64" t="inlineStr">
        <is>
          <t>Total en ARS</t>
        </is>
      </c>
      <c r="C64" t="inlineStr">
        <is>
          <t>Préstamo ANSES - Ley 5603</t>
        </is>
      </c>
      <c r="E64">
        <f>IF(OR(Tabla3_1[[#This Row],[moneda]]="Total en ARS",Tabla3_1[[#This Row],[moneda]]="pesos"),Tabla3_1[[#This Row],[Valor]]*VLOOKUP(Tabla3_1[[#This Row],[añpo]],ipc!$A:$D,4,FALSE),Tabla3_1[[#This Row],[Valor]])</f>
        <v/>
      </c>
    </row>
    <row r="65">
      <c r="A65" t="n">
        <v>2002</v>
      </c>
      <c r="B65" t="inlineStr">
        <is>
          <t>pesos</t>
        </is>
      </c>
      <c r="C65" t="inlineStr">
        <is>
          <t>Proveedores y Contratistas</t>
        </is>
      </c>
      <c r="D65" t="n">
        <v>12.5</v>
      </c>
      <c r="E65">
        <f>IF(OR(Tabla3_1[[#This Row],[moneda]]="Total en ARS",Tabla3_1[[#This Row],[moneda]]="pesos"),Tabla3_1[[#This Row],[Valor]]*VLOOKUP(Tabla3_1[[#This Row],[añpo]],ipc!$A:$D,4,FALSE),Tabla3_1[[#This Row],[Valor]])</f>
        <v/>
      </c>
    </row>
    <row r="66">
      <c r="A66" t="n">
        <v>2002</v>
      </c>
      <c r="B66" t="inlineStr">
        <is>
          <t>pesos</t>
        </is>
      </c>
      <c r="C66" t="inlineStr">
        <is>
          <t>Deuda previsional</t>
        </is>
      </c>
      <c r="D66" t="n">
        <v>665.16</v>
      </c>
      <c r="E66">
        <f>IF(OR(Tabla3_1[[#This Row],[moneda]]="Total en ARS",Tabla3_1[[#This Row],[moneda]]="pesos"),Tabla3_1[[#This Row],[Valor]]*VLOOKUP(Tabla3_1[[#This Row],[añpo]],ipc!$A:$D,4,FALSE),Tabla3_1[[#This Row],[Valor]])</f>
        <v/>
      </c>
    </row>
    <row r="67">
      <c r="A67" t="n">
        <v>2002</v>
      </c>
      <c r="B67" t="inlineStr">
        <is>
          <t>pesos</t>
        </is>
      </c>
      <c r="C67" t="inlineStr">
        <is>
          <t>Títulos públicos</t>
        </is>
      </c>
      <c r="D67" t="n">
        <v>87.88</v>
      </c>
      <c r="E67">
        <f>IF(OR(Tabla3_1[[#This Row],[moneda]]="Total en ARS",Tabla3_1[[#This Row],[moneda]]="pesos"),Tabla3_1[[#This Row],[Valor]]*VLOOKUP(Tabla3_1[[#This Row],[añpo]],ipc!$A:$D,4,FALSE),Tabla3_1[[#This Row],[Valor]])</f>
        <v/>
      </c>
    </row>
    <row r="68">
      <c r="A68" t="n">
        <v>2002</v>
      </c>
      <c r="B68" t="inlineStr">
        <is>
          <t>pesos</t>
        </is>
      </c>
      <c r="C68" t="inlineStr">
        <is>
          <t>Letras del Tesoro Ley 3395 art. 2</t>
        </is>
      </c>
      <c r="E68">
        <f>IF(OR(Tabla3_1[[#This Row],[moneda]]="Total en ARS",Tabla3_1[[#This Row],[moneda]]="pesos"),Tabla3_1[[#This Row],[Valor]]*VLOOKUP(Tabla3_1[[#This Row],[añpo]],ipc!$A:$D,4,FALSE),Tabla3_1[[#This Row],[Valor]])</f>
        <v/>
      </c>
    </row>
    <row r="69">
      <c r="A69" t="n">
        <v>2002</v>
      </c>
      <c r="B69" t="inlineStr">
        <is>
          <t>pesos</t>
        </is>
      </c>
      <c r="C69" t="inlineStr">
        <is>
          <t xml:space="preserve">Deuda financiera </t>
        </is>
      </c>
      <c r="D69" t="n">
        <v>11.96</v>
      </c>
      <c r="E69">
        <f>IF(OR(Tabla3_1[[#This Row],[moneda]]="Total en ARS",Tabla3_1[[#This Row],[moneda]]="pesos"),Tabla3_1[[#This Row],[Valor]]*VLOOKUP(Tabla3_1[[#This Row],[añpo]],ipc!$A:$D,4,FALSE),Tabla3_1[[#This Row],[Valor]])</f>
        <v/>
      </c>
    </row>
    <row r="70">
      <c r="A70" t="n">
        <v>2002</v>
      </c>
      <c r="B70" t="inlineStr">
        <is>
          <t>pesos</t>
        </is>
      </c>
      <c r="C70" t="inlineStr">
        <is>
          <t>Organismos internacionales de crédito</t>
        </is>
      </c>
      <c r="D70" t="n">
        <v>0.54</v>
      </c>
      <c r="E70">
        <f>IF(OR(Tabla3_1[[#This Row],[moneda]]="Total en ARS",Tabla3_1[[#This Row],[moneda]]="pesos"),Tabla3_1[[#This Row],[Valor]]*VLOOKUP(Tabla3_1[[#This Row],[añpo]],ipc!$A:$D,4,FALSE),Tabla3_1[[#This Row],[Valor]])</f>
        <v/>
      </c>
    </row>
    <row r="71">
      <c r="A71" t="n">
        <v>2002</v>
      </c>
      <c r="B71" t="inlineStr">
        <is>
          <t>pesos</t>
        </is>
      </c>
      <c r="C71" t="inlineStr">
        <is>
          <t>Garantías y/o avales</t>
        </is>
      </c>
      <c r="E71">
        <f>IF(OR(Tabla3_1[[#This Row],[moneda]]="Total en ARS",Tabla3_1[[#This Row],[moneda]]="pesos"),Tabla3_1[[#This Row],[Valor]]*VLOOKUP(Tabla3_1[[#This Row],[añpo]],ipc!$A:$D,4,FALSE),Tabla3_1[[#This Row],[Valor]])</f>
        <v/>
      </c>
    </row>
    <row r="72">
      <c r="A72" t="n">
        <v>2002</v>
      </c>
      <c r="B72" t="inlineStr">
        <is>
          <t>pesos</t>
        </is>
      </c>
      <c r="C72" t="inlineStr">
        <is>
          <t>Acuerdo OSPLAD</t>
        </is>
      </c>
      <c r="E72">
        <f>IF(OR(Tabla3_1[[#This Row],[moneda]]="Total en ARS",Tabla3_1[[#This Row],[moneda]]="pesos"),Tabla3_1[[#This Row],[Valor]]*VLOOKUP(Tabla3_1[[#This Row],[añpo]],ipc!$A:$D,4,FALSE),Tabla3_1[[#This Row],[Valor]])</f>
        <v/>
      </c>
    </row>
    <row r="73">
      <c r="A73" t="n">
        <v>2002</v>
      </c>
      <c r="B73" t="inlineStr">
        <is>
          <t>pesos</t>
        </is>
      </c>
      <c r="C73" t="inlineStr">
        <is>
          <t>Préstamo ANSES - Ley 5603</t>
        </is>
      </c>
      <c r="E73">
        <f>IF(OR(Tabla3_1[[#This Row],[moneda]]="Total en ARS",Tabla3_1[[#This Row],[moneda]]="pesos"),Tabla3_1[[#This Row],[Valor]]*VLOOKUP(Tabla3_1[[#This Row],[añpo]],ipc!$A:$D,4,FALSE),Tabla3_1[[#This Row],[Valor]])</f>
        <v/>
      </c>
    </row>
    <row r="74">
      <c r="A74" t="n">
        <v>2002</v>
      </c>
      <c r="B74" t="inlineStr">
        <is>
          <t>dólares</t>
        </is>
      </c>
      <c r="C74" t="inlineStr">
        <is>
          <t>Proveedores y Contratistas</t>
        </is>
      </c>
      <c r="D74" t="n">
        <v>93.84</v>
      </c>
      <c r="E74">
        <f>IF(OR(Tabla3_1[[#This Row],[moneda]]="Total en ARS",Tabla3_1[[#This Row],[moneda]]="pesos"),Tabla3_1[[#This Row],[Valor]]*VLOOKUP(Tabla3_1[[#This Row],[añpo]],ipc!$A:$D,4,FALSE),Tabla3_1[[#This Row],[Valor]])</f>
        <v/>
      </c>
    </row>
    <row r="75">
      <c r="A75" t="n">
        <v>2002</v>
      </c>
      <c r="B75" t="inlineStr">
        <is>
          <t>dólares</t>
        </is>
      </c>
      <c r="C75" t="inlineStr">
        <is>
          <t>Deuda previsional</t>
        </is>
      </c>
      <c r="E75">
        <f>IF(OR(Tabla3_1[[#This Row],[moneda]]="Total en ARS",Tabla3_1[[#This Row],[moneda]]="pesos"),Tabla3_1[[#This Row],[Valor]]*VLOOKUP(Tabla3_1[[#This Row],[añpo]],ipc!$A:$D,4,FALSE),Tabla3_1[[#This Row],[Valor]])</f>
        <v/>
      </c>
    </row>
    <row r="76">
      <c r="A76" t="n">
        <v>2002</v>
      </c>
      <c r="B76" t="inlineStr">
        <is>
          <t>dólares</t>
        </is>
      </c>
      <c r="C76" t="inlineStr">
        <is>
          <t>Títulos públicos</t>
        </is>
      </c>
      <c r="E76">
        <f>IF(OR(Tabla3_1[[#This Row],[moneda]]="Total en ARS",Tabla3_1[[#This Row],[moneda]]="pesos"),Tabla3_1[[#This Row],[Valor]]*VLOOKUP(Tabla3_1[[#This Row],[añpo]],ipc!$A:$D,4,FALSE),Tabla3_1[[#This Row],[Valor]])</f>
        <v/>
      </c>
    </row>
    <row r="77">
      <c r="A77" t="n">
        <v>2002</v>
      </c>
      <c r="B77" t="inlineStr">
        <is>
          <t>dólares</t>
        </is>
      </c>
      <c r="C77" t="inlineStr">
        <is>
          <t>Letras del Tesoro Ley 3395 art. 2</t>
        </is>
      </c>
      <c r="E77">
        <f>IF(OR(Tabla3_1[[#This Row],[moneda]]="Total en ARS",Tabla3_1[[#This Row],[moneda]]="pesos"),Tabla3_1[[#This Row],[Valor]]*VLOOKUP(Tabla3_1[[#This Row],[añpo]],ipc!$A:$D,4,FALSE),Tabla3_1[[#This Row],[Valor]])</f>
        <v/>
      </c>
    </row>
    <row r="78">
      <c r="A78" t="n">
        <v>2002</v>
      </c>
      <c r="B78" t="inlineStr">
        <is>
          <t>dólares</t>
        </is>
      </c>
      <c r="C78" t="inlineStr">
        <is>
          <t xml:space="preserve">Deuda financiera </t>
        </is>
      </c>
      <c r="E78">
        <f>IF(OR(Tabla3_1[[#This Row],[moneda]]="Total en ARS",Tabla3_1[[#This Row],[moneda]]="pesos"),Tabla3_1[[#This Row],[Valor]]*VLOOKUP(Tabla3_1[[#This Row],[añpo]],ipc!$A:$D,4,FALSE),Tabla3_1[[#This Row],[Valor]])</f>
        <v/>
      </c>
    </row>
    <row r="79">
      <c r="A79" t="n">
        <v>2002</v>
      </c>
      <c r="B79" t="inlineStr">
        <is>
          <t>dólares</t>
        </is>
      </c>
      <c r="C79" t="inlineStr">
        <is>
          <t>Organismos internacionales de crédito</t>
        </is>
      </c>
      <c r="D79" t="n">
        <v>93.84</v>
      </c>
      <c r="E79">
        <f>IF(OR(Tabla3_1[[#This Row],[moneda]]="Total en ARS",Tabla3_1[[#This Row],[moneda]]="pesos"),Tabla3_1[[#This Row],[Valor]]*VLOOKUP(Tabla3_1[[#This Row],[añpo]],ipc!$A:$D,4,FALSE),Tabla3_1[[#This Row],[Valor]])</f>
        <v/>
      </c>
    </row>
    <row r="80">
      <c r="A80" t="n">
        <v>2002</v>
      </c>
      <c r="B80" t="inlineStr">
        <is>
          <t>dólares</t>
        </is>
      </c>
      <c r="C80" t="inlineStr">
        <is>
          <t>Garantías y/o avales</t>
        </is>
      </c>
      <c r="E80">
        <f>IF(OR(Tabla3_1[[#This Row],[moneda]]="Total en ARS",Tabla3_1[[#This Row],[moneda]]="pesos"),Tabla3_1[[#This Row],[Valor]]*VLOOKUP(Tabla3_1[[#This Row],[añpo]],ipc!$A:$D,4,FALSE),Tabla3_1[[#This Row],[Valor]])</f>
        <v/>
      </c>
    </row>
    <row r="81">
      <c r="A81" t="n">
        <v>2002</v>
      </c>
      <c r="B81" t="inlineStr">
        <is>
          <t>dólares</t>
        </is>
      </c>
      <c r="C81" t="inlineStr">
        <is>
          <t>Acuerdo OSPLAD</t>
        </is>
      </c>
      <c r="E81">
        <f>IF(OR(Tabla3_1[[#This Row],[moneda]]="Total en ARS",Tabla3_1[[#This Row],[moneda]]="pesos"),Tabla3_1[[#This Row],[Valor]]*VLOOKUP(Tabla3_1[[#This Row],[añpo]],ipc!$A:$D,4,FALSE),Tabla3_1[[#This Row],[Valor]])</f>
        <v/>
      </c>
    </row>
    <row r="82">
      <c r="A82" t="n">
        <v>2002</v>
      </c>
      <c r="B82" t="inlineStr">
        <is>
          <t>dólares</t>
        </is>
      </c>
      <c r="C82" t="inlineStr">
        <is>
          <t>Préstamo ANSES - Ley 5603</t>
        </is>
      </c>
      <c r="E82">
        <f>IF(OR(Tabla3_1[[#This Row],[moneda]]="Total en ARS",Tabla3_1[[#This Row],[moneda]]="pesos"),Tabla3_1[[#This Row],[Valor]]*VLOOKUP(Tabla3_1[[#This Row],[añpo]],ipc!$A:$D,4,FALSE),Tabla3_1[[#This Row],[Valor]])</f>
        <v/>
      </c>
    </row>
    <row r="83">
      <c r="A83" t="n">
        <v>2002</v>
      </c>
      <c r="B83" t="inlineStr">
        <is>
          <t>euros</t>
        </is>
      </c>
      <c r="C83" t="inlineStr">
        <is>
          <t>Proveedores y Contratistas</t>
        </is>
      </c>
      <c r="D83" t="n">
        <v>197.21</v>
      </c>
      <c r="E83">
        <f>IF(OR(Tabla3_1[[#This Row],[moneda]]="Total en ARS",Tabla3_1[[#This Row],[moneda]]="pesos"),Tabla3_1[[#This Row],[Valor]]*VLOOKUP(Tabla3_1[[#This Row],[añpo]],ipc!$A:$D,4,FALSE),Tabla3_1[[#This Row],[Valor]])</f>
        <v/>
      </c>
    </row>
    <row r="84">
      <c r="A84" t="n">
        <v>2002</v>
      </c>
      <c r="B84" t="inlineStr">
        <is>
          <t>euros</t>
        </is>
      </c>
      <c r="C84" t="inlineStr">
        <is>
          <t>Deuda previsional</t>
        </is>
      </c>
      <c r="E84">
        <f>IF(OR(Tabla3_1[[#This Row],[moneda]]="Total en ARS",Tabla3_1[[#This Row],[moneda]]="pesos"),Tabla3_1[[#This Row],[Valor]]*VLOOKUP(Tabla3_1[[#This Row],[añpo]],ipc!$A:$D,4,FALSE),Tabla3_1[[#This Row],[Valor]])</f>
        <v/>
      </c>
    </row>
    <row r="85">
      <c r="A85" t="n">
        <v>2002</v>
      </c>
      <c r="B85" t="inlineStr">
        <is>
          <t>euros</t>
        </is>
      </c>
      <c r="C85" t="inlineStr">
        <is>
          <t>Títulos públicos</t>
        </is>
      </c>
      <c r="E85">
        <f>IF(OR(Tabla3_1[[#This Row],[moneda]]="Total en ARS",Tabla3_1[[#This Row],[moneda]]="pesos"),Tabla3_1[[#This Row],[Valor]]*VLOOKUP(Tabla3_1[[#This Row],[añpo]],ipc!$A:$D,4,FALSE),Tabla3_1[[#This Row],[Valor]])</f>
        <v/>
      </c>
    </row>
    <row r="86">
      <c r="A86" t="n">
        <v>2002</v>
      </c>
      <c r="B86" t="inlineStr">
        <is>
          <t>euros</t>
        </is>
      </c>
      <c r="C86" t="inlineStr">
        <is>
          <t>Letras del Tesoro Ley 3395 art. 2</t>
        </is>
      </c>
      <c r="E86">
        <f>IF(OR(Tabla3_1[[#This Row],[moneda]]="Total en ARS",Tabla3_1[[#This Row],[moneda]]="pesos"),Tabla3_1[[#This Row],[Valor]]*VLOOKUP(Tabla3_1[[#This Row],[añpo]],ipc!$A:$D,4,FALSE),Tabla3_1[[#This Row],[Valor]])</f>
        <v/>
      </c>
    </row>
    <row r="87">
      <c r="A87" t="n">
        <v>2002</v>
      </c>
      <c r="B87" t="inlineStr">
        <is>
          <t>euros</t>
        </is>
      </c>
      <c r="C87" t="inlineStr">
        <is>
          <t xml:space="preserve">Deuda financiera </t>
        </is>
      </c>
      <c r="E87">
        <f>IF(OR(Tabla3_1[[#This Row],[moneda]]="Total en ARS",Tabla3_1[[#This Row],[moneda]]="pesos"),Tabla3_1[[#This Row],[Valor]]*VLOOKUP(Tabla3_1[[#This Row],[añpo]],ipc!$A:$D,4,FALSE),Tabla3_1[[#This Row],[Valor]])</f>
        <v/>
      </c>
    </row>
    <row r="88">
      <c r="A88" t="n">
        <v>2002</v>
      </c>
      <c r="B88" t="inlineStr">
        <is>
          <t>euros</t>
        </is>
      </c>
      <c r="C88" t="inlineStr">
        <is>
          <t>Organismos internacionales de crédito</t>
        </is>
      </c>
      <c r="E88">
        <f>IF(OR(Tabla3_1[[#This Row],[moneda]]="Total en ARS",Tabla3_1[[#This Row],[moneda]]="pesos"),Tabla3_1[[#This Row],[Valor]]*VLOOKUP(Tabla3_1[[#This Row],[añpo]],ipc!$A:$D,4,FALSE),Tabla3_1[[#This Row],[Valor]])</f>
        <v/>
      </c>
    </row>
    <row r="89">
      <c r="A89" t="n">
        <v>2002</v>
      </c>
      <c r="B89" t="inlineStr">
        <is>
          <t>euros</t>
        </is>
      </c>
      <c r="C89" t="inlineStr">
        <is>
          <t>Garantías y/o avales</t>
        </is>
      </c>
      <c r="E89">
        <f>IF(OR(Tabla3_1[[#This Row],[moneda]]="Total en ARS",Tabla3_1[[#This Row],[moneda]]="pesos"),Tabla3_1[[#This Row],[Valor]]*VLOOKUP(Tabla3_1[[#This Row],[añpo]],ipc!$A:$D,4,FALSE),Tabla3_1[[#This Row],[Valor]])</f>
        <v/>
      </c>
    </row>
    <row r="90">
      <c r="A90" t="n">
        <v>2002</v>
      </c>
      <c r="B90" t="inlineStr">
        <is>
          <t>euros</t>
        </is>
      </c>
      <c r="C90" t="inlineStr">
        <is>
          <t>Acuerdo OSPLAD</t>
        </is>
      </c>
      <c r="E90">
        <f>IF(OR(Tabla3_1[[#This Row],[moneda]]="Total en ARS",Tabla3_1[[#This Row],[moneda]]="pesos"),Tabla3_1[[#This Row],[Valor]]*VLOOKUP(Tabla3_1[[#This Row],[añpo]],ipc!$A:$D,4,FALSE),Tabla3_1[[#This Row],[Valor]])</f>
        <v/>
      </c>
    </row>
    <row r="91">
      <c r="A91" t="n">
        <v>2002</v>
      </c>
      <c r="B91" t="inlineStr">
        <is>
          <t>euros</t>
        </is>
      </c>
      <c r="C91" t="inlineStr">
        <is>
          <t>Préstamo ANSES - Ley 5603</t>
        </is>
      </c>
      <c r="E91">
        <f>IF(OR(Tabla3_1[[#This Row],[moneda]]="Total en ARS",Tabla3_1[[#This Row],[moneda]]="pesos"),Tabla3_1[[#This Row],[Valor]]*VLOOKUP(Tabla3_1[[#This Row],[añpo]],ipc!$A:$D,4,FALSE),Tabla3_1[[#This Row],[Valor]])</f>
        <v/>
      </c>
    </row>
    <row r="92">
      <c r="A92" t="n">
        <v>2003</v>
      </c>
      <c r="B92" t="inlineStr">
        <is>
          <t>Total en ARS</t>
        </is>
      </c>
      <c r="C92" t="inlineStr">
        <is>
          <t>Proveedores y Contratistas</t>
        </is>
      </c>
      <c r="D92" t="n">
        <v>2162.1637</v>
      </c>
      <c r="E92">
        <f>IF(OR(Tabla3_1[[#This Row],[moneda]]="Total en ARS",Tabla3_1[[#This Row],[moneda]]="pesos"),Tabla3_1[[#This Row],[Valor]]*VLOOKUP(Tabla3_1[[#This Row],[añpo]],ipc!$A:$D,4,FALSE),Tabla3_1[[#This Row],[Valor]])</f>
        <v/>
      </c>
    </row>
    <row r="93">
      <c r="A93" t="n">
        <v>2003</v>
      </c>
      <c r="B93" t="inlineStr">
        <is>
          <t>Total en ARS</t>
        </is>
      </c>
      <c r="C93" t="inlineStr">
        <is>
          <t>Deuda previsional</t>
        </is>
      </c>
      <c r="D93" t="n">
        <v>356.4</v>
      </c>
      <c r="E93">
        <f>IF(OR(Tabla3_1[[#This Row],[moneda]]="Total en ARS",Tabla3_1[[#This Row],[moneda]]="pesos"),Tabla3_1[[#This Row],[Valor]]*VLOOKUP(Tabla3_1[[#This Row],[añpo]],ipc!$A:$D,4,FALSE),Tabla3_1[[#This Row],[Valor]])</f>
        <v/>
      </c>
    </row>
    <row r="94">
      <c r="A94" t="n">
        <v>2003</v>
      </c>
      <c r="B94" t="inlineStr">
        <is>
          <t>Total en ARS</t>
        </is>
      </c>
      <c r="C94" t="inlineStr">
        <is>
          <t>Títulos públicos</t>
        </is>
      </c>
      <c r="D94" t="n">
        <v>64.02</v>
      </c>
      <c r="E94">
        <f>IF(OR(Tabla3_1[[#This Row],[moneda]]="Total en ARS",Tabla3_1[[#This Row],[moneda]]="pesos"),Tabla3_1[[#This Row],[Valor]]*VLOOKUP(Tabla3_1[[#This Row],[añpo]],ipc!$A:$D,4,FALSE),Tabla3_1[[#This Row],[Valor]])</f>
        <v/>
      </c>
    </row>
    <row r="95">
      <c r="A95" t="n">
        <v>2003</v>
      </c>
      <c r="B95" t="inlineStr">
        <is>
          <t>Total en ARS</t>
        </is>
      </c>
      <c r="C95" t="inlineStr">
        <is>
          <t>Letras del Tesoro Ley 3395 art. 2</t>
        </is>
      </c>
      <c r="E95">
        <f>IF(OR(Tabla3_1[[#This Row],[moneda]]="Total en ARS",Tabla3_1[[#This Row],[moneda]]="pesos"),Tabla3_1[[#This Row],[Valor]]*VLOOKUP(Tabla3_1[[#This Row],[añpo]],ipc!$A:$D,4,FALSE),Tabla3_1[[#This Row],[Valor]])</f>
        <v/>
      </c>
    </row>
    <row r="96">
      <c r="A96" t="n">
        <v>2003</v>
      </c>
      <c r="B96" t="inlineStr">
        <is>
          <t>Total en ARS</t>
        </is>
      </c>
      <c r="C96" t="inlineStr">
        <is>
          <t xml:space="preserve">Deuda financiera </t>
        </is>
      </c>
      <c r="D96" t="n">
        <v>10.43</v>
      </c>
      <c r="E96">
        <f>IF(OR(Tabla3_1[[#This Row],[moneda]]="Total en ARS",Tabla3_1[[#This Row],[moneda]]="pesos"),Tabla3_1[[#This Row],[Valor]]*VLOOKUP(Tabla3_1[[#This Row],[añpo]],ipc!$A:$D,4,FALSE),Tabla3_1[[#This Row],[Valor]])</f>
        <v/>
      </c>
    </row>
    <row r="97">
      <c r="A97" t="n">
        <v>2003</v>
      </c>
      <c r="B97" t="inlineStr">
        <is>
          <t>Total en ARS</t>
        </is>
      </c>
      <c r="C97" t="inlineStr">
        <is>
          <t>Organismos internacionales de crédito</t>
        </is>
      </c>
      <c r="D97" t="n">
        <v>315.255</v>
      </c>
      <c r="E97">
        <f>IF(OR(Tabla3_1[[#This Row],[moneda]]="Total en ARS",Tabla3_1[[#This Row],[moneda]]="pesos"),Tabla3_1[[#This Row],[Valor]]*VLOOKUP(Tabla3_1[[#This Row],[añpo]],ipc!$A:$D,4,FALSE),Tabla3_1[[#This Row],[Valor]])</f>
        <v/>
      </c>
    </row>
    <row r="98">
      <c r="A98" t="n">
        <v>2003</v>
      </c>
      <c r="B98" t="inlineStr">
        <is>
          <t>Total en ARS</t>
        </is>
      </c>
      <c r="C98" t="inlineStr">
        <is>
          <t>Garantías y/o avales</t>
        </is>
      </c>
      <c r="E98">
        <f>IF(OR(Tabla3_1[[#This Row],[moneda]]="Total en ARS",Tabla3_1[[#This Row],[moneda]]="pesos"),Tabla3_1[[#This Row],[Valor]]*VLOOKUP(Tabla3_1[[#This Row],[añpo]],ipc!$A:$D,4,FALSE),Tabla3_1[[#This Row],[Valor]])</f>
        <v/>
      </c>
    </row>
    <row r="99">
      <c r="A99" t="n">
        <v>2003</v>
      </c>
      <c r="B99" t="inlineStr">
        <is>
          <t>Total en ARS</t>
        </is>
      </c>
      <c r="C99" t="inlineStr">
        <is>
          <t>Acuerdo OSPLAD</t>
        </is>
      </c>
      <c r="E99">
        <f>IF(OR(Tabla3_1[[#This Row],[moneda]]="Total en ARS",Tabla3_1[[#This Row],[moneda]]="pesos"),Tabla3_1[[#This Row],[Valor]]*VLOOKUP(Tabla3_1[[#This Row],[añpo]],ipc!$A:$D,4,FALSE),Tabla3_1[[#This Row],[Valor]])</f>
        <v/>
      </c>
    </row>
    <row r="100">
      <c r="A100" t="n">
        <v>2003</v>
      </c>
      <c r="B100" t="inlineStr">
        <is>
          <t>Total en ARS</t>
        </is>
      </c>
      <c r="C100" t="inlineStr">
        <is>
          <t>Préstamo ANSES - Ley 5603</t>
        </is>
      </c>
      <c r="E100">
        <f>IF(OR(Tabla3_1[[#This Row],[moneda]]="Total en ARS",Tabla3_1[[#This Row],[moneda]]="pesos"),Tabla3_1[[#This Row],[Valor]]*VLOOKUP(Tabla3_1[[#This Row],[añpo]],ipc!$A:$D,4,FALSE),Tabla3_1[[#This Row],[Valor]])</f>
        <v/>
      </c>
    </row>
    <row r="101">
      <c r="A101" t="n">
        <v>2003</v>
      </c>
      <c r="B101" t="inlineStr">
        <is>
          <t>pesos</t>
        </is>
      </c>
      <c r="C101" t="inlineStr">
        <is>
          <t>Proveedores y Contratistas</t>
        </is>
      </c>
      <c r="D101" t="n">
        <v>702.1199999999999</v>
      </c>
      <c r="E101">
        <f>IF(OR(Tabla3_1[[#This Row],[moneda]]="Total en ARS",Tabla3_1[[#This Row],[moneda]]="pesos"),Tabla3_1[[#This Row],[Valor]]*VLOOKUP(Tabla3_1[[#This Row],[añpo]],ipc!$A:$D,4,FALSE),Tabla3_1[[#This Row],[Valor]])</f>
        <v/>
      </c>
    </row>
    <row r="102">
      <c r="A102" t="n">
        <v>2003</v>
      </c>
      <c r="B102" t="inlineStr">
        <is>
          <t>pesos</t>
        </is>
      </c>
      <c r="C102" t="inlineStr">
        <is>
          <t>Deuda previsional</t>
        </is>
      </c>
      <c r="D102" t="n">
        <v>356.44</v>
      </c>
      <c r="E102">
        <f>IF(OR(Tabla3_1[[#This Row],[moneda]]="Total en ARS",Tabla3_1[[#This Row],[moneda]]="pesos"),Tabla3_1[[#This Row],[Valor]]*VLOOKUP(Tabla3_1[[#This Row],[añpo]],ipc!$A:$D,4,FALSE),Tabla3_1[[#This Row],[Valor]])</f>
        <v/>
      </c>
    </row>
    <row r="103">
      <c r="A103" t="n">
        <v>2003</v>
      </c>
      <c r="B103" t="inlineStr">
        <is>
          <t>pesos</t>
        </is>
      </c>
      <c r="C103" t="inlineStr">
        <is>
          <t>Títulos públicos</t>
        </is>
      </c>
      <c r="D103" t="n">
        <v>64.02</v>
      </c>
      <c r="E103">
        <f>IF(OR(Tabla3_1[[#This Row],[moneda]]="Total en ARS",Tabla3_1[[#This Row],[moneda]]="pesos"),Tabla3_1[[#This Row],[Valor]]*VLOOKUP(Tabla3_1[[#This Row],[añpo]],ipc!$A:$D,4,FALSE),Tabla3_1[[#This Row],[Valor]])</f>
        <v/>
      </c>
    </row>
    <row r="104">
      <c r="A104" t="n">
        <v>2003</v>
      </c>
      <c r="B104" t="inlineStr">
        <is>
          <t>pesos</t>
        </is>
      </c>
      <c r="C104" t="inlineStr">
        <is>
          <t>Letras del Tesoro Ley 3395 art. 2</t>
        </is>
      </c>
      <c r="E104">
        <f>IF(OR(Tabla3_1[[#This Row],[moneda]]="Total en ARS",Tabla3_1[[#This Row],[moneda]]="pesos"),Tabla3_1[[#This Row],[Valor]]*VLOOKUP(Tabla3_1[[#This Row],[añpo]],ipc!$A:$D,4,FALSE),Tabla3_1[[#This Row],[Valor]])</f>
        <v/>
      </c>
    </row>
    <row r="105">
      <c r="A105" t="n">
        <v>2003</v>
      </c>
      <c r="B105" t="inlineStr">
        <is>
          <t>pesos</t>
        </is>
      </c>
      <c r="C105" t="inlineStr">
        <is>
          <t xml:space="preserve">Deuda financiera </t>
        </is>
      </c>
      <c r="D105" t="n">
        <v>10.43</v>
      </c>
      <c r="E105">
        <f>IF(OR(Tabla3_1[[#This Row],[moneda]]="Total en ARS",Tabla3_1[[#This Row],[moneda]]="pesos"),Tabla3_1[[#This Row],[Valor]]*VLOOKUP(Tabla3_1[[#This Row],[añpo]],ipc!$A:$D,4,FALSE),Tabla3_1[[#This Row],[Valor]])</f>
        <v/>
      </c>
    </row>
    <row r="106">
      <c r="A106" t="n">
        <v>2003</v>
      </c>
      <c r="B106" t="inlineStr">
        <is>
          <t>pesos</t>
        </is>
      </c>
      <c r="C106" t="inlineStr">
        <is>
          <t>Organismos internacionales de crédito</t>
        </is>
      </c>
      <c r="D106" t="n">
        <v>0.28</v>
      </c>
      <c r="E106">
        <f>IF(OR(Tabla3_1[[#This Row],[moneda]]="Total en ARS",Tabla3_1[[#This Row],[moneda]]="pesos"),Tabla3_1[[#This Row],[Valor]]*VLOOKUP(Tabla3_1[[#This Row],[añpo]],ipc!$A:$D,4,FALSE),Tabla3_1[[#This Row],[Valor]])</f>
        <v/>
      </c>
    </row>
    <row r="107">
      <c r="A107" t="n">
        <v>2003</v>
      </c>
      <c r="B107" t="inlineStr">
        <is>
          <t>pesos</t>
        </is>
      </c>
      <c r="C107" t="inlineStr">
        <is>
          <t>Garantías y/o avales</t>
        </is>
      </c>
      <c r="E107">
        <f>IF(OR(Tabla3_1[[#This Row],[moneda]]="Total en ARS",Tabla3_1[[#This Row],[moneda]]="pesos"),Tabla3_1[[#This Row],[Valor]]*VLOOKUP(Tabla3_1[[#This Row],[añpo]],ipc!$A:$D,4,FALSE),Tabla3_1[[#This Row],[Valor]])</f>
        <v/>
      </c>
    </row>
    <row r="108">
      <c r="A108" t="n">
        <v>2003</v>
      </c>
      <c r="B108" t="inlineStr">
        <is>
          <t>pesos</t>
        </is>
      </c>
      <c r="C108" t="inlineStr">
        <is>
          <t>Acuerdo OSPLAD</t>
        </is>
      </c>
      <c r="E108">
        <f>IF(OR(Tabla3_1[[#This Row],[moneda]]="Total en ARS",Tabla3_1[[#This Row],[moneda]]="pesos"),Tabla3_1[[#This Row],[Valor]]*VLOOKUP(Tabla3_1[[#This Row],[añpo]],ipc!$A:$D,4,FALSE),Tabla3_1[[#This Row],[Valor]])</f>
        <v/>
      </c>
    </row>
    <row r="109">
      <c r="A109" t="n">
        <v>2003</v>
      </c>
      <c r="B109" t="inlineStr">
        <is>
          <t>pesos</t>
        </is>
      </c>
      <c r="C109" t="inlineStr">
        <is>
          <t>Préstamo ANSES - Ley 5603</t>
        </is>
      </c>
      <c r="E109">
        <f>IF(OR(Tabla3_1[[#This Row],[moneda]]="Total en ARS",Tabla3_1[[#This Row],[moneda]]="pesos"),Tabla3_1[[#This Row],[Valor]]*VLOOKUP(Tabla3_1[[#This Row],[añpo]],ipc!$A:$D,4,FALSE),Tabla3_1[[#This Row],[Valor]])</f>
        <v/>
      </c>
    </row>
    <row r="110">
      <c r="A110" t="n">
        <v>2003</v>
      </c>
      <c r="B110" t="inlineStr">
        <is>
          <t>dólares</t>
        </is>
      </c>
      <c r="C110" t="inlineStr">
        <is>
          <t>Proveedores y Contratistas</t>
        </is>
      </c>
      <c r="D110" t="n">
        <v>361.74</v>
      </c>
      <c r="E110">
        <f>IF(OR(Tabla3_1[[#This Row],[moneda]]="Total en ARS",Tabla3_1[[#This Row],[moneda]]="pesos"),Tabla3_1[[#This Row],[Valor]]*VLOOKUP(Tabla3_1[[#This Row],[añpo]],ipc!$A:$D,4,FALSE),Tabla3_1[[#This Row],[Valor]])</f>
        <v/>
      </c>
    </row>
    <row r="111">
      <c r="A111" t="n">
        <v>2003</v>
      </c>
      <c r="B111" t="inlineStr">
        <is>
          <t>dólares</t>
        </is>
      </c>
      <c r="C111" t="inlineStr">
        <is>
          <t>Deuda previsional</t>
        </is>
      </c>
      <c r="E111">
        <f>IF(OR(Tabla3_1[[#This Row],[moneda]]="Total en ARS",Tabla3_1[[#This Row],[moneda]]="pesos"),Tabla3_1[[#This Row],[Valor]]*VLOOKUP(Tabla3_1[[#This Row],[añpo]],ipc!$A:$D,4,FALSE),Tabla3_1[[#This Row],[Valor]])</f>
        <v/>
      </c>
    </row>
    <row r="112">
      <c r="A112" t="n">
        <v>2003</v>
      </c>
      <c r="B112" t="inlineStr">
        <is>
          <t>dólares</t>
        </is>
      </c>
      <c r="C112" t="inlineStr">
        <is>
          <t>Títulos públicos</t>
        </is>
      </c>
      <c r="E112">
        <f>IF(OR(Tabla3_1[[#This Row],[moneda]]="Total en ARS",Tabla3_1[[#This Row],[moneda]]="pesos"),Tabla3_1[[#This Row],[Valor]]*VLOOKUP(Tabla3_1[[#This Row],[añpo]],ipc!$A:$D,4,FALSE),Tabla3_1[[#This Row],[Valor]])</f>
        <v/>
      </c>
    </row>
    <row r="113">
      <c r="A113" t="n">
        <v>2003</v>
      </c>
      <c r="B113" t="inlineStr">
        <is>
          <t>dólares</t>
        </is>
      </c>
      <c r="C113" t="inlineStr">
        <is>
          <t>Letras del Tesoro Ley 3395 art. 2</t>
        </is>
      </c>
      <c r="E113">
        <f>IF(OR(Tabla3_1[[#This Row],[moneda]]="Total en ARS",Tabla3_1[[#This Row],[moneda]]="pesos"),Tabla3_1[[#This Row],[Valor]]*VLOOKUP(Tabla3_1[[#This Row],[añpo]],ipc!$A:$D,4,FALSE),Tabla3_1[[#This Row],[Valor]])</f>
        <v/>
      </c>
    </row>
    <row r="114">
      <c r="A114" t="n">
        <v>2003</v>
      </c>
      <c r="B114" t="inlineStr">
        <is>
          <t>dólares</t>
        </is>
      </c>
      <c r="C114" t="inlineStr">
        <is>
          <t xml:space="preserve">Deuda financiera </t>
        </is>
      </c>
      <c r="E114">
        <f>IF(OR(Tabla3_1[[#This Row],[moneda]]="Total en ARS",Tabla3_1[[#This Row],[moneda]]="pesos"),Tabla3_1[[#This Row],[Valor]]*VLOOKUP(Tabla3_1[[#This Row],[añpo]],ipc!$A:$D,4,FALSE),Tabla3_1[[#This Row],[Valor]])</f>
        <v/>
      </c>
    </row>
    <row r="115">
      <c r="A115" t="n">
        <v>2003</v>
      </c>
      <c r="B115" t="inlineStr">
        <is>
          <t>dólares</t>
        </is>
      </c>
      <c r="C115" t="inlineStr">
        <is>
          <t>Organismos internacionales de crédito</t>
        </is>
      </c>
      <c r="D115" t="n">
        <v>107.5</v>
      </c>
      <c r="E115">
        <f>IF(OR(Tabla3_1[[#This Row],[moneda]]="Total en ARS",Tabla3_1[[#This Row],[moneda]]="pesos"),Tabla3_1[[#This Row],[Valor]]*VLOOKUP(Tabla3_1[[#This Row],[añpo]],ipc!$A:$D,4,FALSE),Tabla3_1[[#This Row],[Valor]])</f>
        <v/>
      </c>
    </row>
    <row r="116">
      <c r="A116" t="n">
        <v>2003</v>
      </c>
      <c r="B116" t="inlineStr">
        <is>
          <t>dólares</t>
        </is>
      </c>
      <c r="C116" t="inlineStr">
        <is>
          <t>Garantías y/o avales</t>
        </is>
      </c>
      <c r="E116">
        <f>IF(OR(Tabla3_1[[#This Row],[moneda]]="Total en ARS",Tabla3_1[[#This Row],[moneda]]="pesos"),Tabla3_1[[#This Row],[Valor]]*VLOOKUP(Tabla3_1[[#This Row],[añpo]],ipc!$A:$D,4,FALSE),Tabla3_1[[#This Row],[Valor]])</f>
        <v/>
      </c>
    </row>
    <row r="117">
      <c r="A117" t="n">
        <v>2003</v>
      </c>
      <c r="B117" t="inlineStr">
        <is>
          <t>dólares</t>
        </is>
      </c>
      <c r="C117" t="inlineStr">
        <is>
          <t>Acuerdo OSPLAD</t>
        </is>
      </c>
      <c r="E117">
        <f>IF(OR(Tabla3_1[[#This Row],[moneda]]="Total en ARS",Tabla3_1[[#This Row],[moneda]]="pesos"),Tabla3_1[[#This Row],[Valor]]*VLOOKUP(Tabla3_1[[#This Row],[añpo]],ipc!$A:$D,4,FALSE),Tabla3_1[[#This Row],[Valor]])</f>
        <v/>
      </c>
    </row>
    <row r="118">
      <c r="A118" t="n">
        <v>2003</v>
      </c>
      <c r="B118" t="inlineStr">
        <is>
          <t>dólares</t>
        </is>
      </c>
      <c r="C118" t="inlineStr">
        <is>
          <t>Préstamo ANSES - Ley 5603</t>
        </is>
      </c>
      <c r="E118">
        <f>IF(OR(Tabla3_1[[#This Row],[moneda]]="Total en ARS",Tabla3_1[[#This Row],[moneda]]="pesos"),Tabla3_1[[#This Row],[Valor]]*VLOOKUP(Tabla3_1[[#This Row],[añpo]],ipc!$A:$D,4,FALSE),Tabla3_1[[#This Row],[Valor]])</f>
        <v/>
      </c>
    </row>
    <row r="119">
      <c r="A119" t="n">
        <v>2003</v>
      </c>
      <c r="B119" t="inlineStr">
        <is>
          <t>euros</t>
        </is>
      </c>
      <c r="C119" t="inlineStr">
        <is>
          <t>Proveedores y Contratistas</t>
        </is>
      </c>
      <c r="D119" t="n">
        <v>199.15</v>
      </c>
      <c r="E119">
        <f>IF(OR(Tabla3_1[[#This Row],[moneda]]="Total en ARS",Tabla3_1[[#This Row],[moneda]]="pesos"),Tabla3_1[[#This Row],[Valor]]*VLOOKUP(Tabla3_1[[#This Row],[añpo]],ipc!$A:$D,4,FALSE),Tabla3_1[[#This Row],[Valor]])</f>
        <v/>
      </c>
    </row>
    <row r="120">
      <c r="A120" t="n">
        <v>2003</v>
      </c>
      <c r="B120" t="inlineStr">
        <is>
          <t>euros</t>
        </is>
      </c>
      <c r="C120" t="inlineStr">
        <is>
          <t>Deuda previsional</t>
        </is>
      </c>
      <c r="E120">
        <f>IF(OR(Tabla3_1[[#This Row],[moneda]]="Total en ARS",Tabla3_1[[#This Row],[moneda]]="pesos"),Tabla3_1[[#This Row],[Valor]]*VLOOKUP(Tabla3_1[[#This Row],[añpo]],ipc!$A:$D,4,FALSE),Tabla3_1[[#This Row],[Valor]])</f>
        <v/>
      </c>
    </row>
    <row r="121">
      <c r="A121" t="n">
        <v>2003</v>
      </c>
      <c r="B121" t="inlineStr">
        <is>
          <t>euros</t>
        </is>
      </c>
      <c r="C121" t="inlineStr">
        <is>
          <t>Títulos públicos</t>
        </is>
      </c>
      <c r="E121">
        <f>IF(OR(Tabla3_1[[#This Row],[moneda]]="Total en ARS",Tabla3_1[[#This Row],[moneda]]="pesos"),Tabla3_1[[#This Row],[Valor]]*VLOOKUP(Tabla3_1[[#This Row],[añpo]],ipc!$A:$D,4,FALSE),Tabla3_1[[#This Row],[Valor]])</f>
        <v/>
      </c>
    </row>
    <row r="122">
      <c r="A122" t="n">
        <v>2003</v>
      </c>
      <c r="B122" t="inlineStr">
        <is>
          <t>euros</t>
        </is>
      </c>
      <c r="C122" t="inlineStr">
        <is>
          <t>Letras del Tesoro Ley 3395 art. 2</t>
        </is>
      </c>
      <c r="E122">
        <f>IF(OR(Tabla3_1[[#This Row],[moneda]]="Total en ARS",Tabla3_1[[#This Row],[moneda]]="pesos"),Tabla3_1[[#This Row],[Valor]]*VLOOKUP(Tabla3_1[[#This Row],[añpo]],ipc!$A:$D,4,FALSE),Tabla3_1[[#This Row],[Valor]])</f>
        <v/>
      </c>
    </row>
    <row r="123">
      <c r="A123" t="n">
        <v>2003</v>
      </c>
      <c r="B123" t="inlineStr">
        <is>
          <t>euros</t>
        </is>
      </c>
      <c r="C123" t="inlineStr">
        <is>
          <t xml:space="preserve">Deuda financiera </t>
        </is>
      </c>
      <c r="E123">
        <f>IF(OR(Tabla3_1[[#This Row],[moneda]]="Total en ARS",Tabla3_1[[#This Row],[moneda]]="pesos"),Tabla3_1[[#This Row],[Valor]]*VLOOKUP(Tabla3_1[[#This Row],[añpo]],ipc!$A:$D,4,FALSE),Tabla3_1[[#This Row],[Valor]])</f>
        <v/>
      </c>
    </row>
    <row r="124">
      <c r="A124" t="n">
        <v>2003</v>
      </c>
      <c r="B124" t="inlineStr">
        <is>
          <t>euros</t>
        </is>
      </c>
      <c r="C124" t="inlineStr">
        <is>
          <t>Organismos internacionales de crédito</t>
        </is>
      </c>
      <c r="E124">
        <f>IF(OR(Tabla3_1[[#This Row],[moneda]]="Total en ARS",Tabla3_1[[#This Row],[moneda]]="pesos"),Tabla3_1[[#This Row],[Valor]]*VLOOKUP(Tabla3_1[[#This Row],[añpo]],ipc!$A:$D,4,FALSE),Tabla3_1[[#This Row],[Valor]])</f>
        <v/>
      </c>
    </row>
    <row r="125">
      <c r="A125" t="n">
        <v>2003</v>
      </c>
      <c r="B125" t="inlineStr">
        <is>
          <t>euros</t>
        </is>
      </c>
      <c r="C125" t="inlineStr">
        <is>
          <t>Garantías y/o avales</t>
        </is>
      </c>
      <c r="E125">
        <f>IF(OR(Tabla3_1[[#This Row],[moneda]]="Total en ARS",Tabla3_1[[#This Row],[moneda]]="pesos"),Tabla3_1[[#This Row],[Valor]]*VLOOKUP(Tabla3_1[[#This Row],[añpo]],ipc!$A:$D,4,FALSE),Tabla3_1[[#This Row],[Valor]])</f>
        <v/>
      </c>
    </row>
    <row r="126">
      <c r="A126" t="n">
        <v>2003</v>
      </c>
      <c r="B126" t="inlineStr">
        <is>
          <t>euros</t>
        </is>
      </c>
      <c r="C126" t="inlineStr">
        <is>
          <t>Acuerdo OSPLAD</t>
        </is>
      </c>
      <c r="E126">
        <f>IF(OR(Tabla3_1[[#This Row],[moneda]]="Total en ARS",Tabla3_1[[#This Row],[moneda]]="pesos"),Tabla3_1[[#This Row],[Valor]]*VLOOKUP(Tabla3_1[[#This Row],[añpo]],ipc!$A:$D,4,FALSE),Tabla3_1[[#This Row],[Valor]])</f>
        <v/>
      </c>
    </row>
    <row r="127">
      <c r="A127" t="n">
        <v>2003</v>
      </c>
      <c r="B127" t="inlineStr">
        <is>
          <t>euros</t>
        </is>
      </c>
      <c r="C127" t="inlineStr">
        <is>
          <t>Préstamo ANSES - Ley 5603</t>
        </is>
      </c>
      <c r="E127">
        <f>IF(OR(Tabla3_1[[#This Row],[moneda]]="Total en ARS",Tabla3_1[[#This Row],[moneda]]="pesos"),Tabla3_1[[#This Row],[Valor]]*VLOOKUP(Tabla3_1[[#This Row],[añpo]],ipc!$A:$D,4,FALSE),Tabla3_1[[#This Row],[Valor]])</f>
        <v/>
      </c>
    </row>
    <row r="128">
      <c r="A128" t="n">
        <v>2004</v>
      </c>
      <c r="B128" t="inlineStr">
        <is>
          <t>Total en ARS</t>
        </is>
      </c>
      <c r="C128" t="inlineStr">
        <is>
          <t>Proveedores y Contratistas</t>
        </is>
      </c>
      <c r="D128" t="n">
        <v>2687.81951246</v>
      </c>
      <c r="E128">
        <f>IF(OR(Tabla3_1[[#This Row],[moneda]]="Total en ARS",Tabla3_1[[#This Row],[moneda]]="pesos"),Tabla3_1[[#This Row],[Valor]]*VLOOKUP(Tabla3_1[[#This Row],[añpo]],ipc!$A:$D,4,FALSE),Tabla3_1[[#This Row],[Valor]])</f>
        <v/>
      </c>
    </row>
    <row r="129">
      <c r="A129" t="n">
        <v>2004</v>
      </c>
      <c r="B129" t="inlineStr">
        <is>
          <t>Total en ARS</t>
        </is>
      </c>
      <c r="C129" t="inlineStr">
        <is>
          <t>Deuda previsional</t>
        </is>
      </c>
      <c r="D129" t="n">
        <v>454.59</v>
      </c>
      <c r="E129">
        <f>IF(OR(Tabla3_1[[#This Row],[moneda]]="Total en ARS",Tabla3_1[[#This Row],[moneda]]="pesos"),Tabla3_1[[#This Row],[Valor]]*VLOOKUP(Tabla3_1[[#This Row],[añpo]],ipc!$A:$D,4,FALSE),Tabla3_1[[#This Row],[Valor]])</f>
        <v/>
      </c>
    </row>
    <row r="130">
      <c r="A130" t="n">
        <v>2004</v>
      </c>
      <c r="B130" t="inlineStr">
        <is>
          <t>Total en ARS</t>
        </is>
      </c>
      <c r="C130" t="inlineStr">
        <is>
          <t>Títulos públicos</t>
        </is>
      </c>
      <c r="D130" t="n">
        <v>38.92</v>
      </c>
      <c r="E130">
        <f>IF(OR(Tabla3_1[[#This Row],[moneda]]="Total en ARS",Tabla3_1[[#This Row],[moneda]]="pesos"),Tabla3_1[[#This Row],[Valor]]*VLOOKUP(Tabla3_1[[#This Row],[añpo]],ipc!$A:$D,4,FALSE),Tabla3_1[[#This Row],[Valor]])</f>
        <v/>
      </c>
    </row>
    <row r="131">
      <c r="A131" t="n">
        <v>2004</v>
      </c>
      <c r="B131" t="inlineStr">
        <is>
          <t>Total en ARS</t>
        </is>
      </c>
      <c r="C131" t="inlineStr">
        <is>
          <t>Letras del Tesoro Ley 3395 art. 2</t>
        </is>
      </c>
      <c r="E131">
        <f>IF(OR(Tabla3_1[[#This Row],[moneda]]="Total en ARS",Tabla3_1[[#This Row],[moneda]]="pesos"),Tabla3_1[[#This Row],[Valor]]*VLOOKUP(Tabla3_1[[#This Row],[añpo]],ipc!$A:$D,4,FALSE),Tabla3_1[[#This Row],[Valor]])</f>
        <v/>
      </c>
    </row>
    <row r="132">
      <c r="A132" t="n">
        <v>2004</v>
      </c>
      <c r="B132" t="inlineStr">
        <is>
          <t>Total en ARS</t>
        </is>
      </c>
      <c r="C132" t="inlineStr">
        <is>
          <t xml:space="preserve">Deuda financiera </t>
        </is>
      </c>
      <c r="D132" t="n">
        <v>10.1649</v>
      </c>
      <c r="E132">
        <f>IF(OR(Tabla3_1[[#This Row],[moneda]]="Total en ARS",Tabla3_1[[#This Row],[moneda]]="pesos"),Tabla3_1[[#This Row],[Valor]]*VLOOKUP(Tabla3_1[[#This Row],[añpo]],ipc!$A:$D,4,FALSE),Tabla3_1[[#This Row],[Valor]])</f>
        <v/>
      </c>
    </row>
    <row r="133">
      <c r="A133" t="n">
        <v>2004</v>
      </c>
      <c r="B133" t="inlineStr">
        <is>
          <t>Total en ARS</t>
        </is>
      </c>
      <c r="C133" t="inlineStr">
        <is>
          <t>Organismos internacionales de crédito</t>
        </is>
      </c>
      <c r="D133" t="n">
        <v>334.0954458</v>
      </c>
      <c r="E133">
        <f>IF(OR(Tabla3_1[[#This Row],[moneda]]="Total en ARS",Tabla3_1[[#This Row],[moneda]]="pesos"),Tabla3_1[[#This Row],[Valor]]*VLOOKUP(Tabla3_1[[#This Row],[añpo]],ipc!$A:$D,4,FALSE),Tabla3_1[[#This Row],[Valor]])</f>
        <v/>
      </c>
    </row>
    <row r="134">
      <c r="A134" t="n">
        <v>2004</v>
      </c>
      <c r="B134" t="inlineStr">
        <is>
          <t>Total en ARS</t>
        </is>
      </c>
      <c r="C134" t="inlineStr">
        <is>
          <t>Garantías y/o avales</t>
        </is>
      </c>
      <c r="E134">
        <f>IF(OR(Tabla3_1[[#This Row],[moneda]]="Total en ARS",Tabla3_1[[#This Row],[moneda]]="pesos"),Tabla3_1[[#This Row],[Valor]]*VLOOKUP(Tabla3_1[[#This Row],[añpo]],ipc!$A:$D,4,FALSE),Tabla3_1[[#This Row],[Valor]])</f>
        <v/>
      </c>
    </row>
    <row r="135">
      <c r="A135" t="n">
        <v>2004</v>
      </c>
      <c r="B135" t="inlineStr">
        <is>
          <t>Total en ARS</t>
        </is>
      </c>
      <c r="C135" t="inlineStr">
        <is>
          <t>Acuerdo OSPLAD</t>
        </is>
      </c>
      <c r="E135">
        <f>IF(OR(Tabla3_1[[#This Row],[moneda]]="Total en ARS",Tabla3_1[[#This Row],[moneda]]="pesos"),Tabla3_1[[#This Row],[Valor]]*VLOOKUP(Tabla3_1[[#This Row],[añpo]],ipc!$A:$D,4,FALSE),Tabla3_1[[#This Row],[Valor]])</f>
        <v/>
      </c>
    </row>
    <row r="136">
      <c r="A136" t="n">
        <v>2004</v>
      </c>
      <c r="B136" t="inlineStr">
        <is>
          <t>Total en ARS</t>
        </is>
      </c>
      <c r="C136" t="inlineStr">
        <is>
          <t>Préstamo ANSES - Ley 5603</t>
        </is>
      </c>
      <c r="E136">
        <f>IF(OR(Tabla3_1[[#This Row],[moneda]]="Total en ARS",Tabla3_1[[#This Row],[moneda]]="pesos"),Tabla3_1[[#This Row],[Valor]]*VLOOKUP(Tabla3_1[[#This Row],[añpo]],ipc!$A:$D,4,FALSE),Tabla3_1[[#This Row],[Valor]])</f>
        <v/>
      </c>
    </row>
    <row r="137">
      <c r="A137" t="n">
        <v>2004</v>
      </c>
      <c r="B137" t="inlineStr">
        <is>
          <t>pesos</t>
        </is>
      </c>
      <c r="C137" t="inlineStr">
        <is>
          <t>Proveedores y Contratistas</t>
        </is>
      </c>
      <c r="D137" t="n">
        <v>795.2148999999999</v>
      </c>
      <c r="E137">
        <f>IF(OR(Tabla3_1[[#This Row],[moneda]]="Total en ARS",Tabla3_1[[#This Row],[moneda]]="pesos"),Tabla3_1[[#This Row],[Valor]]*VLOOKUP(Tabla3_1[[#This Row],[añpo]],ipc!$A:$D,4,FALSE),Tabla3_1[[#This Row],[Valor]])</f>
        <v/>
      </c>
    </row>
    <row r="138">
      <c r="A138" t="n">
        <v>2004</v>
      </c>
      <c r="B138" t="inlineStr">
        <is>
          <t>pesos</t>
        </is>
      </c>
      <c r="C138" t="inlineStr">
        <is>
          <t>Deuda previsional</t>
        </is>
      </c>
      <c r="D138" t="n">
        <v>454.59</v>
      </c>
      <c r="E138">
        <f>IF(OR(Tabla3_1[[#This Row],[moneda]]="Total en ARS",Tabla3_1[[#This Row],[moneda]]="pesos"),Tabla3_1[[#This Row],[Valor]]*VLOOKUP(Tabla3_1[[#This Row],[añpo]],ipc!$A:$D,4,FALSE),Tabla3_1[[#This Row],[Valor]])</f>
        <v/>
      </c>
    </row>
    <row r="139">
      <c r="A139" t="n">
        <v>2004</v>
      </c>
      <c r="B139" t="inlineStr">
        <is>
          <t>pesos</t>
        </is>
      </c>
      <c r="C139" t="inlineStr">
        <is>
          <t>Títulos públicos</t>
        </is>
      </c>
      <c r="D139" t="n">
        <v>38.92</v>
      </c>
      <c r="E139">
        <f>IF(OR(Tabla3_1[[#This Row],[moneda]]="Total en ARS",Tabla3_1[[#This Row],[moneda]]="pesos"),Tabla3_1[[#This Row],[Valor]]*VLOOKUP(Tabla3_1[[#This Row],[añpo]],ipc!$A:$D,4,FALSE),Tabla3_1[[#This Row],[Valor]])</f>
        <v/>
      </c>
    </row>
    <row r="140">
      <c r="A140" t="n">
        <v>2004</v>
      </c>
      <c r="B140" t="inlineStr">
        <is>
          <t>pesos</t>
        </is>
      </c>
      <c r="C140" t="inlineStr">
        <is>
          <t>Letras del Tesoro Ley 3395 art. 2</t>
        </is>
      </c>
      <c r="E140">
        <f>IF(OR(Tabla3_1[[#This Row],[moneda]]="Total en ARS",Tabla3_1[[#This Row],[moneda]]="pesos"),Tabla3_1[[#This Row],[Valor]]*VLOOKUP(Tabla3_1[[#This Row],[añpo]],ipc!$A:$D,4,FALSE),Tabla3_1[[#This Row],[Valor]])</f>
        <v/>
      </c>
    </row>
    <row r="141">
      <c r="A141" t="n">
        <v>2004</v>
      </c>
      <c r="B141" t="inlineStr">
        <is>
          <t>pesos</t>
        </is>
      </c>
      <c r="C141" t="inlineStr">
        <is>
          <t xml:space="preserve">Deuda financiera </t>
        </is>
      </c>
      <c r="D141" t="n">
        <v>10.1649</v>
      </c>
      <c r="E141">
        <f>IF(OR(Tabla3_1[[#This Row],[moneda]]="Total en ARS",Tabla3_1[[#This Row],[moneda]]="pesos"),Tabla3_1[[#This Row],[Valor]]*VLOOKUP(Tabla3_1[[#This Row],[añpo]],ipc!$A:$D,4,FALSE),Tabla3_1[[#This Row],[Valor]])</f>
        <v/>
      </c>
    </row>
    <row r="142">
      <c r="A142" t="n">
        <v>2004</v>
      </c>
      <c r="B142" t="inlineStr">
        <is>
          <t>pesos</t>
        </is>
      </c>
      <c r="C142" t="inlineStr">
        <is>
          <t>Organismos internacionales de crédito</t>
        </is>
      </c>
      <c r="E142">
        <f>IF(OR(Tabla3_1[[#This Row],[moneda]]="Total en ARS",Tabla3_1[[#This Row],[moneda]]="pesos"),Tabla3_1[[#This Row],[Valor]]*VLOOKUP(Tabla3_1[[#This Row],[añpo]],ipc!$A:$D,4,FALSE),Tabla3_1[[#This Row],[Valor]])</f>
        <v/>
      </c>
    </row>
    <row r="143">
      <c r="A143" t="n">
        <v>2004</v>
      </c>
      <c r="B143" t="inlineStr">
        <is>
          <t>pesos</t>
        </is>
      </c>
      <c r="C143" t="inlineStr">
        <is>
          <t>Garantías y/o avales</t>
        </is>
      </c>
      <c r="E143">
        <f>IF(OR(Tabla3_1[[#This Row],[moneda]]="Total en ARS",Tabla3_1[[#This Row],[moneda]]="pesos"),Tabla3_1[[#This Row],[Valor]]*VLOOKUP(Tabla3_1[[#This Row],[añpo]],ipc!$A:$D,4,FALSE),Tabla3_1[[#This Row],[Valor]])</f>
        <v/>
      </c>
    </row>
    <row r="144">
      <c r="A144" t="n">
        <v>2004</v>
      </c>
      <c r="B144" t="inlineStr">
        <is>
          <t>pesos</t>
        </is>
      </c>
      <c r="C144" t="inlineStr">
        <is>
          <t>Acuerdo OSPLAD</t>
        </is>
      </c>
      <c r="E144">
        <f>IF(OR(Tabla3_1[[#This Row],[moneda]]="Total en ARS",Tabla3_1[[#This Row],[moneda]]="pesos"),Tabla3_1[[#This Row],[Valor]]*VLOOKUP(Tabla3_1[[#This Row],[añpo]],ipc!$A:$D,4,FALSE),Tabla3_1[[#This Row],[Valor]])</f>
        <v/>
      </c>
    </row>
    <row r="145">
      <c r="A145" t="n">
        <v>2004</v>
      </c>
      <c r="B145" t="inlineStr">
        <is>
          <t>pesos</t>
        </is>
      </c>
      <c r="C145" t="inlineStr">
        <is>
          <t>Préstamo ANSES - Ley 5603</t>
        </is>
      </c>
      <c r="E145">
        <f>IF(OR(Tabla3_1[[#This Row],[moneda]]="Total en ARS",Tabla3_1[[#This Row],[moneda]]="pesos"),Tabla3_1[[#This Row],[Valor]]*VLOOKUP(Tabla3_1[[#This Row],[añpo]],ipc!$A:$D,4,FALSE),Tabla3_1[[#This Row],[Valor]])</f>
        <v/>
      </c>
    </row>
    <row r="146">
      <c r="A146" t="n">
        <v>2004</v>
      </c>
      <c r="B146" t="inlineStr">
        <is>
          <t>dólares</t>
        </is>
      </c>
      <c r="C146" t="inlineStr">
        <is>
          <t>Proveedores y Contratistas</t>
        </is>
      </c>
      <c r="D146" t="n">
        <v>366.3913</v>
      </c>
      <c r="E146">
        <f>IF(OR(Tabla3_1[[#This Row],[moneda]]="Total en ARS",Tabla3_1[[#This Row],[moneda]]="pesos"),Tabla3_1[[#This Row],[Valor]]*VLOOKUP(Tabla3_1[[#This Row],[añpo]],ipc!$A:$D,4,FALSE),Tabla3_1[[#This Row],[Valor]])</f>
        <v/>
      </c>
    </row>
    <row r="147">
      <c r="A147" t="n">
        <v>2004</v>
      </c>
      <c r="B147" t="inlineStr">
        <is>
          <t>dólares</t>
        </is>
      </c>
      <c r="C147" t="inlineStr">
        <is>
          <t>Deuda previsional</t>
        </is>
      </c>
      <c r="E147">
        <f>IF(OR(Tabla3_1[[#This Row],[moneda]]="Total en ARS",Tabla3_1[[#This Row],[moneda]]="pesos"),Tabla3_1[[#This Row],[Valor]]*VLOOKUP(Tabla3_1[[#This Row],[añpo]],ipc!$A:$D,4,FALSE),Tabla3_1[[#This Row],[Valor]])</f>
        <v/>
      </c>
    </row>
    <row r="148">
      <c r="A148" t="n">
        <v>2004</v>
      </c>
      <c r="B148" t="inlineStr">
        <is>
          <t>dólares</t>
        </is>
      </c>
      <c r="C148" t="inlineStr">
        <is>
          <t>Títulos públicos</t>
        </is>
      </c>
      <c r="E148">
        <f>IF(OR(Tabla3_1[[#This Row],[moneda]]="Total en ARS",Tabla3_1[[#This Row],[moneda]]="pesos"),Tabla3_1[[#This Row],[Valor]]*VLOOKUP(Tabla3_1[[#This Row],[añpo]],ipc!$A:$D,4,FALSE),Tabla3_1[[#This Row],[Valor]])</f>
        <v/>
      </c>
    </row>
    <row r="149">
      <c r="A149" t="n">
        <v>2004</v>
      </c>
      <c r="B149" t="inlineStr">
        <is>
          <t>dólares</t>
        </is>
      </c>
      <c r="C149" t="inlineStr">
        <is>
          <t>Letras del Tesoro Ley 3395 art. 2</t>
        </is>
      </c>
      <c r="E149">
        <f>IF(OR(Tabla3_1[[#This Row],[moneda]]="Total en ARS",Tabla3_1[[#This Row],[moneda]]="pesos"),Tabla3_1[[#This Row],[Valor]]*VLOOKUP(Tabla3_1[[#This Row],[añpo]],ipc!$A:$D,4,FALSE),Tabla3_1[[#This Row],[Valor]])</f>
        <v/>
      </c>
    </row>
    <row r="150">
      <c r="A150" t="n">
        <v>2004</v>
      </c>
      <c r="B150" t="inlineStr">
        <is>
          <t>dólares</t>
        </is>
      </c>
      <c r="C150" t="inlineStr">
        <is>
          <t xml:space="preserve">Deuda financiera </t>
        </is>
      </c>
      <c r="E150">
        <f>IF(OR(Tabla3_1[[#This Row],[moneda]]="Total en ARS",Tabla3_1[[#This Row],[moneda]]="pesos"),Tabla3_1[[#This Row],[Valor]]*VLOOKUP(Tabla3_1[[#This Row],[añpo]],ipc!$A:$D,4,FALSE),Tabla3_1[[#This Row],[Valor]])</f>
        <v/>
      </c>
    </row>
    <row r="151">
      <c r="A151" t="n">
        <v>2004</v>
      </c>
      <c r="B151" t="inlineStr">
        <is>
          <t>dólares</t>
        </is>
      </c>
      <c r="C151" t="inlineStr">
        <is>
          <t>Organismos internacionales de crédito</t>
        </is>
      </c>
      <c r="D151" t="n">
        <v>112.1502</v>
      </c>
      <c r="E151">
        <f>IF(OR(Tabla3_1[[#This Row],[moneda]]="Total en ARS",Tabla3_1[[#This Row],[moneda]]="pesos"),Tabla3_1[[#This Row],[Valor]]*VLOOKUP(Tabla3_1[[#This Row],[añpo]],ipc!$A:$D,4,FALSE),Tabla3_1[[#This Row],[Valor]])</f>
        <v/>
      </c>
    </row>
    <row r="152">
      <c r="A152" t="n">
        <v>2004</v>
      </c>
      <c r="B152" t="inlineStr">
        <is>
          <t>dólares</t>
        </is>
      </c>
      <c r="C152" t="inlineStr">
        <is>
          <t>Garantías y/o avales</t>
        </is>
      </c>
      <c r="E152">
        <f>IF(OR(Tabla3_1[[#This Row],[moneda]]="Total en ARS",Tabla3_1[[#This Row],[moneda]]="pesos"),Tabla3_1[[#This Row],[Valor]]*VLOOKUP(Tabla3_1[[#This Row],[añpo]],ipc!$A:$D,4,FALSE),Tabla3_1[[#This Row],[Valor]])</f>
        <v/>
      </c>
    </row>
    <row r="153">
      <c r="A153" t="n">
        <v>2004</v>
      </c>
      <c r="B153" t="inlineStr">
        <is>
          <t>dólares</t>
        </is>
      </c>
      <c r="C153" t="inlineStr">
        <is>
          <t>Acuerdo OSPLAD</t>
        </is>
      </c>
      <c r="E153">
        <f>IF(OR(Tabla3_1[[#This Row],[moneda]]="Total en ARS",Tabla3_1[[#This Row],[moneda]]="pesos"),Tabla3_1[[#This Row],[Valor]]*VLOOKUP(Tabla3_1[[#This Row],[añpo]],ipc!$A:$D,4,FALSE),Tabla3_1[[#This Row],[Valor]])</f>
        <v/>
      </c>
    </row>
    <row r="154">
      <c r="A154" t="n">
        <v>2004</v>
      </c>
      <c r="B154" t="inlineStr">
        <is>
          <t>dólares</t>
        </is>
      </c>
      <c r="C154" t="inlineStr">
        <is>
          <t>Préstamo ANSES - Ley 5603</t>
        </is>
      </c>
      <c r="E154">
        <f>IF(OR(Tabla3_1[[#This Row],[moneda]]="Total en ARS",Tabla3_1[[#This Row],[moneda]]="pesos"),Tabla3_1[[#This Row],[Valor]]*VLOOKUP(Tabla3_1[[#This Row],[añpo]],ipc!$A:$D,4,FALSE),Tabla3_1[[#This Row],[Valor]])</f>
        <v/>
      </c>
    </row>
    <row r="155">
      <c r="A155" t="n">
        <v>2004</v>
      </c>
      <c r="B155" t="inlineStr">
        <is>
          <t>euros</t>
        </is>
      </c>
      <c r="C155" t="inlineStr">
        <is>
          <t>Proveedores y Contratistas</t>
        </is>
      </c>
      <c r="D155" t="n">
        <v>197.3603</v>
      </c>
      <c r="E155">
        <f>IF(OR(Tabla3_1[[#This Row],[moneda]]="Total en ARS",Tabla3_1[[#This Row],[moneda]]="pesos"),Tabla3_1[[#This Row],[Valor]]*VLOOKUP(Tabla3_1[[#This Row],[añpo]],ipc!$A:$D,4,FALSE),Tabla3_1[[#This Row],[Valor]])</f>
        <v/>
      </c>
    </row>
    <row r="156">
      <c r="A156" t="n">
        <v>2004</v>
      </c>
      <c r="B156" t="inlineStr">
        <is>
          <t>euros</t>
        </is>
      </c>
      <c r="C156" t="inlineStr">
        <is>
          <t>Deuda previsional</t>
        </is>
      </c>
      <c r="E156">
        <f>IF(OR(Tabla3_1[[#This Row],[moneda]]="Total en ARS",Tabla3_1[[#This Row],[moneda]]="pesos"),Tabla3_1[[#This Row],[Valor]]*VLOOKUP(Tabla3_1[[#This Row],[añpo]],ipc!$A:$D,4,FALSE),Tabla3_1[[#This Row],[Valor]])</f>
        <v/>
      </c>
    </row>
    <row r="157">
      <c r="A157" t="n">
        <v>2004</v>
      </c>
      <c r="B157" t="inlineStr">
        <is>
          <t>euros</t>
        </is>
      </c>
      <c r="C157" t="inlineStr">
        <is>
          <t>Títulos públicos</t>
        </is>
      </c>
      <c r="E157">
        <f>IF(OR(Tabla3_1[[#This Row],[moneda]]="Total en ARS",Tabla3_1[[#This Row],[moneda]]="pesos"),Tabla3_1[[#This Row],[Valor]]*VLOOKUP(Tabla3_1[[#This Row],[añpo]],ipc!$A:$D,4,FALSE),Tabla3_1[[#This Row],[Valor]])</f>
        <v/>
      </c>
    </row>
    <row r="158">
      <c r="A158" t="n">
        <v>2004</v>
      </c>
      <c r="B158" t="inlineStr">
        <is>
          <t>euros</t>
        </is>
      </c>
      <c r="C158" t="inlineStr">
        <is>
          <t>Letras del Tesoro Ley 3395 art. 2</t>
        </is>
      </c>
      <c r="E158">
        <f>IF(OR(Tabla3_1[[#This Row],[moneda]]="Total en ARS",Tabla3_1[[#This Row],[moneda]]="pesos"),Tabla3_1[[#This Row],[Valor]]*VLOOKUP(Tabla3_1[[#This Row],[añpo]],ipc!$A:$D,4,FALSE),Tabla3_1[[#This Row],[Valor]])</f>
        <v/>
      </c>
    </row>
    <row r="159">
      <c r="A159" t="n">
        <v>2004</v>
      </c>
      <c r="B159" t="inlineStr">
        <is>
          <t>euros</t>
        </is>
      </c>
      <c r="C159" t="inlineStr">
        <is>
          <t xml:space="preserve">Deuda financiera </t>
        </is>
      </c>
      <c r="E159">
        <f>IF(OR(Tabla3_1[[#This Row],[moneda]]="Total en ARS",Tabla3_1[[#This Row],[moneda]]="pesos"),Tabla3_1[[#This Row],[Valor]]*VLOOKUP(Tabla3_1[[#This Row],[añpo]],ipc!$A:$D,4,FALSE),Tabla3_1[[#This Row],[Valor]])</f>
        <v/>
      </c>
    </row>
    <row r="160">
      <c r="A160" t="n">
        <v>2004</v>
      </c>
      <c r="B160" t="inlineStr">
        <is>
          <t>euros</t>
        </is>
      </c>
      <c r="C160" t="inlineStr">
        <is>
          <t>Organismos internacionales de crédito</t>
        </is>
      </c>
      <c r="E160">
        <f>IF(OR(Tabla3_1[[#This Row],[moneda]]="Total en ARS",Tabla3_1[[#This Row],[moneda]]="pesos"),Tabla3_1[[#This Row],[Valor]]*VLOOKUP(Tabla3_1[[#This Row],[añpo]],ipc!$A:$D,4,FALSE),Tabla3_1[[#This Row],[Valor]])</f>
        <v/>
      </c>
    </row>
    <row r="161">
      <c r="A161" t="n">
        <v>2004</v>
      </c>
      <c r="B161" t="inlineStr">
        <is>
          <t>euros</t>
        </is>
      </c>
      <c r="C161" t="inlineStr">
        <is>
          <t>Garantías y/o avales</t>
        </is>
      </c>
      <c r="E161">
        <f>IF(OR(Tabla3_1[[#This Row],[moneda]]="Total en ARS",Tabla3_1[[#This Row],[moneda]]="pesos"),Tabla3_1[[#This Row],[Valor]]*VLOOKUP(Tabla3_1[[#This Row],[añpo]],ipc!$A:$D,4,FALSE),Tabla3_1[[#This Row],[Valor]])</f>
        <v/>
      </c>
    </row>
    <row r="162">
      <c r="A162" t="n">
        <v>2004</v>
      </c>
      <c r="B162" t="inlineStr">
        <is>
          <t>euros</t>
        </is>
      </c>
      <c r="C162" t="inlineStr">
        <is>
          <t>Acuerdo OSPLAD</t>
        </is>
      </c>
      <c r="E162">
        <f>IF(OR(Tabla3_1[[#This Row],[moneda]]="Total en ARS",Tabla3_1[[#This Row],[moneda]]="pesos"),Tabla3_1[[#This Row],[Valor]]*VLOOKUP(Tabla3_1[[#This Row],[añpo]],ipc!$A:$D,4,FALSE),Tabla3_1[[#This Row],[Valor]])</f>
        <v/>
      </c>
    </row>
    <row r="163">
      <c r="A163" t="n">
        <v>2004</v>
      </c>
      <c r="B163" t="inlineStr">
        <is>
          <t>euros</t>
        </is>
      </c>
      <c r="C163" t="inlineStr">
        <is>
          <t>Préstamo ANSES - Ley 5603</t>
        </is>
      </c>
      <c r="E163">
        <f>IF(OR(Tabla3_1[[#This Row],[moneda]]="Total en ARS",Tabla3_1[[#This Row],[moneda]]="pesos"),Tabla3_1[[#This Row],[Valor]]*VLOOKUP(Tabla3_1[[#This Row],[añpo]],ipc!$A:$D,4,FALSE),Tabla3_1[[#This Row],[Valor]])</f>
        <v/>
      </c>
    </row>
    <row r="164">
      <c r="A164" t="n">
        <v>2005</v>
      </c>
      <c r="B164" t="inlineStr">
        <is>
          <t>Total en ARS</t>
        </is>
      </c>
      <c r="C164" t="inlineStr">
        <is>
          <t>Proveedores y Contratistas</t>
        </is>
      </c>
      <c r="D164" t="n">
        <v>3190.82055421</v>
      </c>
      <c r="E164">
        <f>IF(OR(Tabla3_1[[#This Row],[moneda]]="Total en ARS",Tabla3_1[[#This Row],[moneda]]="pesos"),Tabla3_1[[#This Row],[Valor]]*VLOOKUP(Tabla3_1[[#This Row],[añpo]],ipc!$A:$D,4,FALSE),Tabla3_1[[#This Row],[Valor]])</f>
        <v/>
      </c>
    </row>
    <row r="165">
      <c r="A165" t="n">
        <v>2005</v>
      </c>
      <c r="B165" t="inlineStr">
        <is>
          <t>Total en ARS</t>
        </is>
      </c>
      <c r="C165" t="inlineStr">
        <is>
          <t>Deuda previsional</t>
        </is>
      </c>
      <c r="D165" t="n">
        <v>970.17</v>
      </c>
      <c r="E165">
        <f>IF(OR(Tabla3_1[[#This Row],[moneda]]="Total en ARS",Tabla3_1[[#This Row],[moneda]]="pesos"),Tabla3_1[[#This Row],[Valor]]*VLOOKUP(Tabla3_1[[#This Row],[añpo]],ipc!$A:$D,4,FALSE),Tabla3_1[[#This Row],[Valor]])</f>
        <v/>
      </c>
    </row>
    <row r="166">
      <c r="A166" t="n">
        <v>2005</v>
      </c>
      <c r="B166" t="inlineStr">
        <is>
          <t>Total en ARS</t>
        </is>
      </c>
      <c r="C166" t="inlineStr">
        <is>
          <t>Títulos públicos</t>
        </is>
      </c>
      <c r="D166" t="n">
        <v>35.9</v>
      </c>
      <c r="E166">
        <f>IF(OR(Tabla3_1[[#This Row],[moneda]]="Total en ARS",Tabla3_1[[#This Row],[moneda]]="pesos"),Tabla3_1[[#This Row],[Valor]]*VLOOKUP(Tabla3_1[[#This Row],[añpo]],ipc!$A:$D,4,FALSE),Tabla3_1[[#This Row],[Valor]])</f>
        <v/>
      </c>
    </row>
    <row r="167">
      <c r="A167" t="n">
        <v>2005</v>
      </c>
      <c r="B167" t="inlineStr">
        <is>
          <t>Total en ARS</t>
        </is>
      </c>
      <c r="C167" t="inlineStr">
        <is>
          <t>Letras del Tesoro Ley 3395 art. 2</t>
        </is>
      </c>
      <c r="E167">
        <f>IF(OR(Tabla3_1[[#This Row],[moneda]]="Total en ARS",Tabla3_1[[#This Row],[moneda]]="pesos"),Tabla3_1[[#This Row],[Valor]]*VLOOKUP(Tabla3_1[[#This Row],[añpo]],ipc!$A:$D,4,FALSE),Tabla3_1[[#This Row],[Valor]])</f>
        <v/>
      </c>
    </row>
    <row r="168">
      <c r="A168" t="n">
        <v>2005</v>
      </c>
      <c r="B168" t="inlineStr">
        <is>
          <t>Total en ARS</t>
        </is>
      </c>
      <c r="C168" t="inlineStr">
        <is>
          <t xml:space="preserve">Deuda financiera </t>
        </is>
      </c>
      <c r="D168" t="n">
        <v>7.9</v>
      </c>
      <c r="E168">
        <f>IF(OR(Tabla3_1[[#This Row],[moneda]]="Total en ARS",Tabla3_1[[#This Row],[moneda]]="pesos"),Tabla3_1[[#This Row],[Valor]]*VLOOKUP(Tabla3_1[[#This Row],[añpo]],ipc!$A:$D,4,FALSE),Tabla3_1[[#This Row],[Valor]])</f>
        <v/>
      </c>
    </row>
    <row r="169">
      <c r="A169" t="n">
        <v>2005</v>
      </c>
      <c r="B169" t="inlineStr">
        <is>
          <t>Total en ARS</t>
        </is>
      </c>
      <c r="C169" t="inlineStr">
        <is>
          <t>Organismos internacionales de crédito</t>
        </is>
      </c>
      <c r="D169" t="n">
        <v>356.0620104</v>
      </c>
      <c r="E169">
        <f>IF(OR(Tabla3_1[[#This Row],[moneda]]="Total en ARS",Tabla3_1[[#This Row],[moneda]]="pesos"),Tabla3_1[[#This Row],[Valor]]*VLOOKUP(Tabla3_1[[#This Row],[añpo]],ipc!$A:$D,4,FALSE),Tabla3_1[[#This Row],[Valor]])</f>
        <v/>
      </c>
    </row>
    <row r="170">
      <c r="A170" t="n">
        <v>2005</v>
      </c>
      <c r="B170" t="inlineStr">
        <is>
          <t>Total en ARS</t>
        </is>
      </c>
      <c r="C170" t="inlineStr">
        <is>
          <t>Garantías y/o avales</t>
        </is>
      </c>
      <c r="E170">
        <f>IF(OR(Tabla3_1[[#This Row],[moneda]]="Total en ARS",Tabla3_1[[#This Row],[moneda]]="pesos"),Tabla3_1[[#This Row],[Valor]]*VLOOKUP(Tabla3_1[[#This Row],[añpo]],ipc!$A:$D,4,FALSE),Tabla3_1[[#This Row],[Valor]])</f>
        <v/>
      </c>
    </row>
    <row r="171">
      <c r="A171" t="n">
        <v>2005</v>
      </c>
      <c r="B171" t="inlineStr">
        <is>
          <t>Total en ARS</t>
        </is>
      </c>
      <c r="C171" t="inlineStr">
        <is>
          <t>Acuerdo OSPLAD</t>
        </is>
      </c>
      <c r="E171">
        <f>IF(OR(Tabla3_1[[#This Row],[moneda]]="Total en ARS",Tabla3_1[[#This Row],[moneda]]="pesos"),Tabla3_1[[#This Row],[Valor]]*VLOOKUP(Tabla3_1[[#This Row],[añpo]],ipc!$A:$D,4,FALSE),Tabla3_1[[#This Row],[Valor]])</f>
        <v/>
      </c>
    </row>
    <row r="172">
      <c r="A172" t="n">
        <v>2005</v>
      </c>
      <c r="B172" t="inlineStr">
        <is>
          <t>Total en ARS</t>
        </is>
      </c>
      <c r="C172" t="inlineStr">
        <is>
          <t>Préstamo ANSES - Ley 5603</t>
        </is>
      </c>
      <c r="E172">
        <f>IF(OR(Tabla3_1[[#This Row],[moneda]]="Total en ARS",Tabla3_1[[#This Row],[moneda]]="pesos"),Tabla3_1[[#This Row],[Valor]]*VLOOKUP(Tabla3_1[[#This Row],[añpo]],ipc!$A:$D,4,FALSE),Tabla3_1[[#This Row],[Valor]])</f>
        <v/>
      </c>
    </row>
    <row r="173">
      <c r="A173" t="n">
        <v>2005</v>
      </c>
      <c r="B173" t="inlineStr">
        <is>
          <t>pesos</t>
        </is>
      </c>
      <c r="C173" t="inlineStr">
        <is>
          <t>Proveedores y Contratistas</t>
        </is>
      </c>
      <c r="D173" t="n">
        <v>1441.5514</v>
      </c>
      <c r="E173">
        <f>IF(OR(Tabla3_1[[#This Row],[moneda]]="Total en ARS",Tabla3_1[[#This Row],[moneda]]="pesos"),Tabla3_1[[#This Row],[Valor]]*VLOOKUP(Tabla3_1[[#This Row],[añpo]],ipc!$A:$D,4,FALSE),Tabla3_1[[#This Row],[Valor]])</f>
        <v/>
      </c>
    </row>
    <row r="174">
      <c r="A174" t="n">
        <v>2005</v>
      </c>
      <c r="B174" t="inlineStr">
        <is>
          <t>pesos</t>
        </is>
      </c>
      <c r="C174" t="inlineStr">
        <is>
          <t>Deuda previsional</t>
        </is>
      </c>
      <c r="D174" t="n">
        <v>970.17</v>
      </c>
      <c r="E174">
        <f>IF(OR(Tabla3_1[[#This Row],[moneda]]="Total en ARS",Tabla3_1[[#This Row],[moneda]]="pesos"),Tabla3_1[[#This Row],[Valor]]*VLOOKUP(Tabla3_1[[#This Row],[añpo]],ipc!$A:$D,4,FALSE),Tabla3_1[[#This Row],[Valor]])</f>
        <v/>
      </c>
    </row>
    <row r="175">
      <c r="A175" t="n">
        <v>2005</v>
      </c>
      <c r="B175" t="inlineStr">
        <is>
          <t>pesos</t>
        </is>
      </c>
      <c r="C175" t="inlineStr">
        <is>
          <t>Títulos públicos</t>
        </is>
      </c>
      <c r="D175" t="n">
        <v>35.8677</v>
      </c>
      <c r="E175">
        <f>IF(OR(Tabla3_1[[#This Row],[moneda]]="Total en ARS",Tabla3_1[[#This Row],[moneda]]="pesos"),Tabla3_1[[#This Row],[Valor]]*VLOOKUP(Tabla3_1[[#This Row],[añpo]],ipc!$A:$D,4,FALSE),Tabla3_1[[#This Row],[Valor]])</f>
        <v/>
      </c>
    </row>
    <row r="176">
      <c r="A176" t="n">
        <v>2005</v>
      </c>
      <c r="B176" t="inlineStr">
        <is>
          <t>pesos</t>
        </is>
      </c>
      <c r="C176" t="inlineStr">
        <is>
          <t>Letras del Tesoro Ley 3395 art. 2</t>
        </is>
      </c>
      <c r="E176">
        <f>IF(OR(Tabla3_1[[#This Row],[moneda]]="Total en ARS",Tabla3_1[[#This Row],[moneda]]="pesos"),Tabla3_1[[#This Row],[Valor]]*VLOOKUP(Tabla3_1[[#This Row],[añpo]],ipc!$A:$D,4,FALSE),Tabla3_1[[#This Row],[Valor]])</f>
        <v/>
      </c>
    </row>
    <row r="177">
      <c r="A177" t="n">
        <v>2005</v>
      </c>
      <c r="B177" t="inlineStr">
        <is>
          <t>pesos</t>
        </is>
      </c>
      <c r="C177" t="inlineStr">
        <is>
          <t xml:space="preserve">Deuda financiera </t>
        </is>
      </c>
      <c r="D177" t="n">
        <v>7.856</v>
      </c>
      <c r="E177">
        <f>IF(OR(Tabla3_1[[#This Row],[moneda]]="Total en ARS",Tabla3_1[[#This Row],[moneda]]="pesos"),Tabla3_1[[#This Row],[Valor]]*VLOOKUP(Tabla3_1[[#This Row],[añpo]],ipc!$A:$D,4,FALSE),Tabla3_1[[#This Row],[Valor]])</f>
        <v/>
      </c>
    </row>
    <row r="178">
      <c r="A178" t="n">
        <v>2005</v>
      </c>
      <c r="B178" t="inlineStr">
        <is>
          <t>pesos</t>
        </is>
      </c>
      <c r="C178" t="inlineStr">
        <is>
          <t>Organismos internacionales de crédito</t>
        </is>
      </c>
      <c r="E178">
        <f>IF(OR(Tabla3_1[[#This Row],[moneda]]="Total en ARS",Tabla3_1[[#This Row],[moneda]]="pesos"),Tabla3_1[[#This Row],[Valor]]*VLOOKUP(Tabla3_1[[#This Row],[añpo]],ipc!$A:$D,4,FALSE),Tabla3_1[[#This Row],[Valor]])</f>
        <v/>
      </c>
    </row>
    <row r="179">
      <c r="A179" t="n">
        <v>2005</v>
      </c>
      <c r="B179" t="inlineStr">
        <is>
          <t>pesos</t>
        </is>
      </c>
      <c r="C179" t="inlineStr">
        <is>
          <t>Garantías y/o avales</t>
        </is>
      </c>
      <c r="E179">
        <f>IF(OR(Tabla3_1[[#This Row],[moneda]]="Total en ARS",Tabla3_1[[#This Row],[moneda]]="pesos"),Tabla3_1[[#This Row],[Valor]]*VLOOKUP(Tabla3_1[[#This Row],[añpo]],ipc!$A:$D,4,FALSE),Tabla3_1[[#This Row],[Valor]])</f>
        <v/>
      </c>
    </row>
    <row r="180">
      <c r="A180" t="n">
        <v>2005</v>
      </c>
      <c r="B180" t="inlineStr">
        <is>
          <t>pesos</t>
        </is>
      </c>
      <c r="C180" t="inlineStr">
        <is>
          <t>Acuerdo OSPLAD</t>
        </is>
      </c>
      <c r="E180">
        <f>IF(OR(Tabla3_1[[#This Row],[moneda]]="Total en ARS",Tabla3_1[[#This Row],[moneda]]="pesos"),Tabla3_1[[#This Row],[Valor]]*VLOOKUP(Tabla3_1[[#This Row],[añpo]],ipc!$A:$D,4,FALSE),Tabla3_1[[#This Row],[Valor]])</f>
        <v/>
      </c>
    </row>
    <row r="181">
      <c r="A181" t="n">
        <v>2005</v>
      </c>
      <c r="B181" t="inlineStr">
        <is>
          <t>pesos</t>
        </is>
      </c>
      <c r="C181" t="inlineStr">
        <is>
          <t>Préstamo ANSES - Ley 5603</t>
        </is>
      </c>
      <c r="E181">
        <f>IF(OR(Tabla3_1[[#This Row],[moneda]]="Total en ARS",Tabla3_1[[#This Row],[moneda]]="pesos"),Tabla3_1[[#This Row],[Valor]]*VLOOKUP(Tabla3_1[[#This Row],[añpo]],ipc!$A:$D,4,FALSE),Tabla3_1[[#This Row],[Valor]])</f>
        <v/>
      </c>
    </row>
    <row r="182">
      <c r="A182" t="n">
        <v>2005</v>
      </c>
      <c r="B182" t="inlineStr">
        <is>
          <t>dólares</t>
        </is>
      </c>
      <c r="C182" t="inlineStr">
        <is>
          <t>Proveedores y Contratistas</t>
        </is>
      </c>
      <c r="D182" t="n">
        <v>371.8647</v>
      </c>
      <c r="E182">
        <f>IF(OR(Tabla3_1[[#This Row],[moneda]]="Total en ARS",Tabla3_1[[#This Row],[moneda]]="pesos"),Tabla3_1[[#This Row],[Valor]]*VLOOKUP(Tabla3_1[[#This Row],[añpo]],ipc!$A:$D,4,FALSE),Tabla3_1[[#This Row],[Valor]])</f>
        <v/>
      </c>
    </row>
    <row r="183">
      <c r="A183" t="n">
        <v>2005</v>
      </c>
      <c r="B183" t="inlineStr">
        <is>
          <t>dólares</t>
        </is>
      </c>
      <c r="C183" t="inlineStr">
        <is>
          <t>Deuda previsional</t>
        </is>
      </c>
      <c r="E183">
        <f>IF(OR(Tabla3_1[[#This Row],[moneda]]="Total en ARS",Tabla3_1[[#This Row],[moneda]]="pesos"),Tabla3_1[[#This Row],[Valor]]*VLOOKUP(Tabla3_1[[#This Row],[añpo]],ipc!$A:$D,4,FALSE),Tabla3_1[[#This Row],[Valor]])</f>
        <v/>
      </c>
    </row>
    <row r="184">
      <c r="A184" t="n">
        <v>2005</v>
      </c>
      <c r="B184" t="inlineStr">
        <is>
          <t>dólares</t>
        </is>
      </c>
      <c r="C184" t="inlineStr">
        <is>
          <t>Títulos públicos</t>
        </is>
      </c>
      <c r="E184">
        <f>IF(OR(Tabla3_1[[#This Row],[moneda]]="Total en ARS",Tabla3_1[[#This Row],[moneda]]="pesos"),Tabla3_1[[#This Row],[Valor]]*VLOOKUP(Tabla3_1[[#This Row],[añpo]],ipc!$A:$D,4,FALSE),Tabla3_1[[#This Row],[Valor]])</f>
        <v/>
      </c>
    </row>
    <row r="185">
      <c r="A185" t="n">
        <v>2005</v>
      </c>
      <c r="B185" t="inlineStr">
        <is>
          <t>dólares</t>
        </is>
      </c>
      <c r="C185" t="inlineStr">
        <is>
          <t>Letras del Tesoro Ley 3395 art. 2</t>
        </is>
      </c>
      <c r="E185">
        <f>IF(OR(Tabla3_1[[#This Row],[moneda]]="Total en ARS",Tabla3_1[[#This Row],[moneda]]="pesos"),Tabla3_1[[#This Row],[Valor]]*VLOOKUP(Tabla3_1[[#This Row],[añpo]],ipc!$A:$D,4,FALSE),Tabla3_1[[#This Row],[Valor]])</f>
        <v/>
      </c>
    </row>
    <row r="186">
      <c r="A186" t="n">
        <v>2005</v>
      </c>
      <c r="B186" t="inlineStr">
        <is>
          <t>dólares</t>
        </is>
      </c>
      <c r="C186" t="inlineStr">
        <is>
          <t xml:space="preserve">Deuda financiera </t>
        </is>
      </c>
      <c r="E186">
        <f>IF(OR(Tabla3_1[[#This Row],[moneda]]="Total en ARS",Tabla3_1[[#This Row],[moneda]]="pesos"),Tabla3_1[[#This Row],[Valor]]*VLOOKUP(Tabla3_1[[#This Row],[añpo]],ipc!$A:$D,4,FALSE),Tabla3_1[[#This Row],[Valor]])</f>
        <v/>
      </c>
    </row>
    <row r="187">
      <c r="A187" t="n">
        <v>2005</v>
      </c>
      <c r="B187" t="inlineStr">
        <is>
          <t>dólares</t>
        </is>
      </c>
      <c r="C187" t="inlineStr">
        <is>
          <t>Organismos internacionales de crédito</t>
        </is>
      </c>
      <c r="D187" t="n">
        <v>117.4347</v>
      </c>
      <c r="E187">
        <f>IF(OR(Tabla3_1[[#This Row],[moneda]]="Total en ARS",Tabla3_1[[#This Row],[moneda]]="pesos"),Tabla3_1[[#This Row],[Valor]]*VLOOKUP(Tabla3_1[[#This Row],[añpo]],ipc!$A:$D,4,FALSE),Tabla3_1[[#This Row],[Valor]])</f>
        <v/>
      </c>
    </row>
    <row r="188">
      <c r="A188" t="n">
        <v>2005</v>
      </c>
      <c r="B188" t="inlineStr">
        <is>
          <t>dólares</t>
        </is>
      </c>
      <c r="C188" t="inlineStr">
        <is>
          <t>Garantías y/o avales</t>
        </is>
      </c>
      <c r="E188">
        <f>IF(OR(Tabla3_1[[#This Row],[moneda]]="Total en ARS",Tabla3_1[[#This Row],[moneda]]="pesos"),Tabla3_1[[#This Row],[Valor]]*VLOOKUP(Tabla3_1[[#This Row],[añpo]],ipc!$A:$D,4,FALSE),Tabla3_1[[#This Row],[Valor]])</f>
        <v/>
      </c>
    </row>
    <row r="189">
      <c r="A189" t="n">
        <v>2005</v>
      </c>
      <c r="B189" t="inlineStr">
        <is>
          <t>dólares</t>
        </is>
      </c>
      <c r="C189" t="inlineStr">
        <is>
          <t>Acuerdo OSPLAD</t>
        </is>
      </c>
      <c r="E189">
        <f>IF(OR(Tabla3_1[[#This Row],[moneda]]="Total en ARS",Tabla3_1[[#This Row],[moneda]]="pesos"),Tabla3_1[[#This Row],[Valor]]*VLOOKUP(Tabla3_1[[#This Row],[añpo]],ipc!$A:$D,4,FALSE),Tabla3_1[[#This Row],[Valor]])</f>
        <v/>
      </c>
    </row>
    <row r="190">
      <c r="A190" t="n">
        <v>2005</v>
      </c>
      <c r="B190" t="inlineStr">
        <is>
          <t>dólares</t>
        </is>
      </c>
      <c r="C190" t="inlineStr">
        <is>
          <t>Préstamo ANSES - Ley 5603</t>
        </is>
      </c>
      <c r="E190">
        <f>IF(OR(Tabla3_1[[#This Row],[moneda]]="Total en ARS",Tabla3_1[[#This Row],[moneda]]="pesos"),Tabla3_1[[#This Row],[Valor]]*VLOOKUP(Tabla3_1[[#This Row],[añpo]],ipc!$A:$D,4,FALSE),Tabla3_1[[#This Row],[Valor]])</f>
        <v/>
      </c>
    </row>
    <row r="191">
      <c r="A191" t="n">
        <v>2005</v>
      </c>
      <c r="B191" t="inlineStr">
        <is>
          <t>euros</t>
        </is>
      </c>
      <c r="C191" t="inlineStr">
        <is>
          <t>Proveedores y Contratistas</t>
        </is>
      </c>
      <c r="D191" t="n">
        <v>173.3249</v>
      </c>
      <c r="E191">
        <f>IF(OR(Tabla3_1[[#This Row],[moneda]]="Total en ARS",Tabla3_1[[#This Row],[moneda]]="pesos"),Tabla3_1[[#This Row],[Valor]]*VLOOKUP(Tabla3_1[[#This Row],[añpo]],ipc!$A:$D,4,FALSE),Tabla3_1[[#This Row],[Valor]])</f>
        <v/>
      </c>
    </row>
    <row r="192">
      <c r="A192" t="n">
        <v>2005</v>
      </c>
      <c r="B192" t="inlineStr">
        <is>
          <t>euros</t>
        </is>
      </c>
      <c r="C192" t="inlineStr">
        <is>
          <t>Deuda previsional</t>
        </is>
      </c>
      <c r="E192">
        <f>IF(OR(Tabla3_1[[#This Row],[moneda]]="Total en ARS",Tabla3_1[[#This Row],[moneda]]="pesos"),Tabla3_1[[#This Row],[Valor]]*VLOOKUP(Tabla3_1[[#This Row],[añpo]],ipc!$A:$D,4,FALSE),Tabla3_1[[#This Row],[Valor]])</f>
        <v/>
      </c>
    </row>
    <row r="193">
      <c r="A193" t="n">
        <v>2005</v>
      </c>
      <c r="B193" t="inlineStr">
        <is>
          <t>euros</t>
        </is>
      </c>
      <c r="C193" t="inlineStr">
        <is>
          <t>Títulos públicos</t>
        </is>
      </c>
      <c r="E193">
        <f>IF(OR(Tabla3_1[[#This Row],[moneda]]="Total en ARS",Tabla3_1[[#This Row],[moneda]]="pesos"),Tabla3_1[[#This Row],[Valor]]*VLOOKUP(Tabla3_1[[#This Row],[añpo]],ipc!$A:$D,4,FALSE),Tabla3_1[[#This Row],[Valor]])</f>
        <v/>
      </c>
    </row>
    <row r="194">
      <c r="A194" t="n">
        <v>2005</v>
      </c>
      <c r="B194" t="inlineStr">
        <is>
          <t>euros</t>
        </is>
      </c>
      <c r="C194" t="inlineStr">
        <is>
          <t>Letras del Tesoro Ley 3395 art. 2</t>
        </is>
      </c>
      <c r="E194">
        <f>IF(OR(Tabla3_1[[#This Row],[moneda]]="Total en ARS",Tabla3_1[[#This Row],[moneda]]="pesos"),Tabla3_1[[#This Row],[Valor]]*VLOOKUP(Tabla3_1[[#This Row],[añpo]],ipc!$A:$D,4,FALSE),Tabla3_1[[#This Row],[Valor]])</f>
        <v/>
      </c>
    </row>
    <row r="195">
      <c r="A195" t="n">
        <v>2005</v>
      </c>
      <c r="B195" t="inlineStr">
        <is>
          <t>euros</t>
        </is>
      </c>
      <c r="C195" t="inlineStr">
        <is>
          <t xml:space="preserve">Deuda financiera </t>
        </is>
      </c>
      <c r="E195">
        <f>IF(OR(Tabla3_1[[#This Row],[moneda]]="Total en ARS",Tabla3_1[[#This Row],[moneda]]="pesos"),Tabla3_1[[#This Row],[Valor]]*VLOOKUP(Tabla3_1[[#This Row],[añpo]],ipc!$A:$D,4,FALSE),Tabla3_1[[#This Row],[Valor]])</f>
        <v/>
      </c>
    </row>
    <row r="196">
      <c r="A196" t="n">
        <v>2005</v>
      </c>
      <c r="B196" t="inlineStr">
        <is>
          <t>euros</t>
        </is>
      </c>
      <c r="C196" t="inlineStr">
        <is>
          <t>Organismos internacionales de crédito</t>
        </is>
      </c>
      <c r="E196">
        <f>IF(OR(Tabla3_1[[#This Row],[moneda]]="Total en ARS",Tabla3_1[[#This Row],[moneda]]="pesos"),Tabla3_1[[#This Row],[Valor]]*VLOOKUP(Tabla3_1[[#This Row],[añpo]],ipc!$A:$D,4,FALSE),Tabla3_1[[#This Row],[Valor]])</f>
        <v/>
      </c>
    </row>
    <row r="197">
      <c r="A197" t="n">
        <v>2005</v>
      </c>
      <c r="B197" t="inlineStr">
        <is>
          <t>euros</t>
        </is>
      </c>
      <c r="C197" t="inlineStr">
        <is>
          <t>Garantías y/o avales</t>
        </is>
      </c>
      <c r="E197">
        <f>IF(OR(Tabla3_1[[#This Row],[moneda]]="Total en ARS",Tabla3_1[[#This Row],[moneda]]="pesos"),Tabla3_1[[#This Row],[Valor]]*VLOOKUP(Tabla3_1[[#This Row],[añpo]],ipc!$A:$D,4,FALSE),Tabla3_1[[#This Row],[Valor]])</f>
        <v/>
      </c>
    </row>
    <row r="198">
      <c r="A198" t="n">
        <v>2005</v>
      </c>
      <c r="B198" t="inlineStr">
        <is>
          <t>euros</t>
        </is>
      </c>
      <c r="C198" t="inlineStr">
        <is>
          <t>Acuerdo OSPLAD</t>
        </is>
      </c>
      <c r="E198">
        <f>IF(OR(Tabla3_1[[#This Row],[moneda]]="Total en ARS",Tabla3_1[[#This Row],[moneda]]="pesos"),Tabla3_1[[#This Row],[Valor]]*VLOOKUP(Tabla3_1[[#This Row],[añpo]],ipc!$A:$D,4,FALSE),Tabla3_1[[#This Row],[Valor]])</f>
        <v/>
      </c>
    </row>
    <row r="199">
      <c r="A199" t="n">
        <v>2005</v>
      </c>
      <c r="B199" t="inlineStr">
        <is>
          <t>euros</t>
        </is>
      </c>
      <c r="C199" t="inlineStr">
        <is>
          <t>Préstamo ANSES - Ley 5603</t>
        </is>
      </c>
      <c r="E199">
        <f>IF(OR(Tabla3_1[[#This Row],[moneda]]="Total en ARS",Tabla3_1[[#This Row],[moneda]]="pesos"),Tabla3_1[[#This Row],[Valor]]*VLOOKUP(Tabla3_1[[#This Row],[añpo]],ipc!$A:$D,4,FALSE),Tabla3_1[[#This Row],[Valor]])</f>
        <v/>
      </c>
    </row>
    <row r="200">
      <c r="A200" t="n">
        <v>2006</v>
      </c>
      <c r="B200" t="inlineStr">
        <is>
          <t>Total en ARS</t>
        </is>
      </c>
      <c r="C200" t="inlineStr">
        <is>
          <t>Proveedores y Contratistas</t>
        </is>
      </c>
      <c r="D200" t="n">
        <v>3069.733326</v>
      </c>
      <c r="E200">
        <f>IF(OR(Tabla3_1[[#This Row],[moneda]]="Total en ARS",Tabla3_1[[#This Row],[moneda]]="pesos"),Tabla3_1[[#This Row],[Valor]]*VLOOKUP(Tabla3_1[[#This Row],[añpo]],ipc!$A:$D,4,FALSE),Tabla3_1[[#This Row],[Valor]])</f>
        <v/>
      </c>
    </row>
    <row r="201">
      <c r="A201" t="n">
        <v>2006</v>
      </c>
      <c r="B201" t="inlineStr">
        <is>
          <t>Total en ARS</t>
        </is>
      </c>
      <c r="C201" t="inlineStr">
        <is>
          <t>Deuda previsional</t>
        </is>
      </c>
      <c r="D201" t="n">
        <v>1164.316</v>
      </c>
      <c r="E201">
        <f>IF(OR(Tabla3_1[[#This Row],[moneda]]="Total en ARS",Tabla3_1[[#This Row],[moneda]]="pesos"),Tabla3_1[[#This Row],[Valor]]*VLOOKUP(Tabla3_1[[#This Row],[añpo]],ipc!$A:$D,4,FALSE),Tabla3_1[[#This Row],[Valor]])</f>
        <v/>
      </c>
    </row>
    <row r="202">
      <c r="A202" t="n">
        <v>2006</v>
      </c>
      <c r="B202" t="inlineStr">
        <is>
          <t>Total en ARS</t>
        </is>
      </c>
      <c r="C202" t="inlineStr">
        <is>
          <t>Títulos públicos</t>
        </is>
      </c>
      <c r="D202" t="n">
        <v>34.2876</v>
      </c>
      <c r="E202">
        <f>IF(OR(Tabla3_1[[#This Row],[moneda]]="Total en ARS",Tabla3_1[[#This Row],[moneda]]="pesos"),Tabla3_1[[#This Row],[Valor]]*VLOOKUP(Tabla3_1[[#This Row],[añpo]],ipc!$A:$D,4,FALSE),Tabla3_1[[#This Row],[Valor]])</f>
        <v/>
      </c>
    </row>
    <row r="203">
      <c r="A203" t="n">
        <v>2006</v>
      </c>
      <c r="B203" t="inlineStr">
        <is>
          <t>Total en ARS</t>
        </is>
      </c>
      <c r="C203" t="inlineStr">
        <is>
          <t>Letras del Tesoro Ley 3395 art. 2</t>
        </is>
      </c>
      <c r="E203">
        <f>IF(OR(Tabla3_1[[#This Row],[moneda]]="Total en ARS",Tabla3_1[[#This Row],[moneda]]="pesos"),Tabla3_1[[#This Row],[Valor]]*VLOOKUP(Tabla3_1[[#This Row],[añpo]],ipc!$A:$D,4,FALSE),Tabla3_1[[#This Row],[Valor]])</f>
        <v/>
      </c>
    </row>
    <row r="204">
      <c r="A204" t="n">
        <v>2006</v>
      </c>
      <c r="B204" t="inlineStr">
        <is>
          <t>Total en ARS</t>
        </is>
      </c>
      <c r="C204" t="inlineStr">
        <is>
          <t xml:space="preserve">Deuda financiera </t>
        </is>
      </c>
      <c r="D204" t="n">
        <v>6.8733</v>
      </c>
      <c r="E204">
        <f>IF(OR(Tabla3_1[[#This Row],[moneda]]="Total en ARS",Tabla3_1[[#This Row],[moneda]]="pesos"),Tabla3_1[[#This Row],[Valor]]*VLOOKUP(Tabla3_1[[#This Row],[añpo]],ipc!$A:$D,4,FALSE),Tabla3_1[[#This Row],[Valor]])</f>
        <v/>
      </c>
    </row>
    <row r="205">
      <c r="A205" t="n">
        <v>2006</v>
      </c>
      <c r="B205" t="inlineStr">
        <is>
          <t>Total en ARS</t>
        </is>
      </c>
      <c r="C205" t="inlineStr">
        <is>
          <t>Organismos internacionales de crédito</t>
        </is>
      </c>
      <c r="D205" t="n">
        <v>464.024991</v>
      </c>
      <c r="E205">
        <f>IF(OR(Tabla3_1[[#This Row],[moneda]]="Total en ARS",Tabla3_1[[#This Row],[moneda]]="pesos"),Tabla3_1[[#This Row],[Valor]]*VLOOKUP(Tabla3_1[[#This Row],[añpo]],ipc!$A:$D,4,FALSE),Tabla3_1[[#This Row],[Valor]])</f>
        <v/>
      </c>
    </row>
    <row r="206">
      <c r="A206" t="n">
        <v>2006</v>
      </c>
      <c r="B206" t="inlineStr">
        <is>
          <t>Total en ARS</t>
        </is>
      </c>
      <c r="C206" t="inlineStr">
        <is>
          <t>Garantías y/o avales</t>
        </is>
      </c>
      <c r="E206">
        <f>IF(OR(Tabla3_1[[#This Row],[moneda]]="Total en ARS",Tabla3_1[[#This Row],[moneda]]="pesos"),Tabla3_1[[#This Row],[Valor]]*VLOOKUP(Tabla3_1[[#This Row],[añpo]],ipc!$A:$D,4,FALSE),Tabla3_1[[#This Row],[Valor]])</f>
        <v/>
      </c>
    </row>
    <row r="207">
      <c r="A207" t="n">
        <v>2006</v>
      </c>
      <c r="B207" t="inlineStr">
        <is>
          <t>Total en ARS</t>
        </is>
      </c>
      <c r="C207" t="inlineStr">
        <is>
          <t>Acuerdo OSPLAD</t>
        </is>
      </c>
      <c r="E207">
        <f>IF(OR(Tabla3_1[[#This Row],[moneda]]="Total en ARS",Tabla3_1[[#This Row],[moneda]]="pesos"),Tabla3_1[[#This Row],[Valor]]*VLOOKUP(Tabla3_1[[#This Row],[añpo]],ipc!$A:$D,4,FALSE),Tabla3_1[[#This Row],[Valor]])</f>
        <v/>
      </c>
    </row>
    <row r="208">
      <c r="A208" t="n">
        <v>2006</v>
      </c>
      <c r="B208" t="inlineStr">
        <is>
          <t>Total en ARS</t>
        </is>
      </c>
      <c r="C208" t="inlineStr">
        <is>
          <t>Préstamo ANSES - Ley 5603</t>
        </is>
      </c>
      <c r="E208">
        <f>IF(OR(Tabla3_1[[#This Row],[moneda]]="Total en ARS",Tabla3_1[[#This Row],[moneda]]="pesos"),Tabla3_1[[#This Row],[Valor]]*VLOOKUP(Tabla3_1[[#This Row],[añpo]],ipc!$A:$D,4,FALSE),Tabla3_1[[#This Row],[Valor]])</f>
        <v/>
      </c>
    </row>
    <row r="209">
      <c r="A209" t="n">
        <v>2006</v>
      </c>
      <c r="B209" t="inlineStr">
        <is>
          <t>pesos</t>
        </is>
      </c>
      <c r="C209" t="inlineStr">
        <is>
          <t>Proveedores y Contratistas</t>
        </is>
      </c>
      <c r="D209" t="n">
        <v>1382.2263</v>
      </c>
      <c r="E209">
        <f>IF(OR(Tabla3_1[[#This Row],[moneda]]="Total en ARS",Tabla3_1[[#This Row],[moneda]]="pesos"),Tabla3_1[[#This Row],[Valor]]*VLOOKUP(Tabla3_1[[#This Row],[añpo]],ipc!$A:$D,4,FALSE),Tabla3_1[[#This Row],[Valor]])</f>
        <v/>
      </c>
    </row>
    <row r="210">
      <c r="A210" t="n">
        <v>2006</v>
      </c>
      <c r="B210" t="inlineStr">
        <is>
          <t>pesos</t>
        </is>
      </c>
      <c r="C210" t="inlineStr">
        <is>
          <t>Deuda previsional</t>
        </is>
      </c>
      <c r="D210" t="n">
        <v>1164.316</v>
      </c>
      <c r="E210">
        <f>IF(OR(Tabla3_1[[#This Row],[moneda]]="Total en ARS",Tabla3_1[[#This Row],[moneda]]="pesos"),Tabla3_1[[#This Row],[Valor]]*VLOOKUP(Tabla3_1[[#This Row],[añpo]],ipc!$A:$D,4,FALSE),Tabla3_1[[#This Row],[Valor]])</f>
        <v/>
      </c>
    </row>
    <row r="211">
      <c r="A211" t="n">
        <v>2006</v>
      </c>
      <c r="B211" t="inlineStr">
        <is>
          <t>pesos</t>
        </is>
      </c>
      <c r="C211" t="inlineStr">
        <is>
          <t>Títulos públicos</t>
        </is>
      </c>
      <c r="D211" t="n">
        <v>34.2876</v>
      </c>
      <c r="E211">
        <f>IF(OR(Tabla3_1[[#This Row],[moneda]]="Total en ARS",Tabla3_1[[#This Row],[moneda]]="pesos"),Tabla3_1[[#This Row],[Valor]]*VLOOKUP(Tabla3_1[[#This Row],[añpo]],ipc!$A:$D,4,FALSE),Tabla3_1[[#This Row],[Valor]])</f>
        <v/>
      </c>
    </row>
    <row r="212">
      <c r="A212" t="n">
        <v>2006</v>
      </c>
      <c r="B212" t="inlineStr">
        <is>
          <t>pesos</t>
        </is>
      </c>
      <c r="C212" t="inlineStr">
        <is>
          <t>Letras del Tesoro Ley 3395 art. 2</t>
        </is>
      </c>
      <c r="E212">
        <f>IF(OR(Tabla3_1[[#This Row],[moneda]]="Total en ARS",Tabla3_1[[#This Row],[moneda]]="pesos"),Tabla3_1[[#This Row],[Valor]]*VLOOKUP(Tabla3_1[[#This Row],[añpo]],ipc!$A:$D,4,FALSE),Tabla3_1[[#This Row],[Valor]])</f>
        <v/>
      </c>
    </row>
    <row r="213">
      <c r="A213" t="n">
        <v>2006</v>
      </c>
      <c r="B213" t="inlineStr">
        <is>
          <t>pesos</t>
        </is>
      </c>
      <c r="C213" t="inlineStr">
        <is>
          <t xml:space="preserve">Deuda financiera </t>
        </is>
      </c>
      <c r="D213" t="n">
        <v>6.8733</v>
      </c>
      <c r="E213">
        <f>IF(OR(Tabla3_1[[#This Row],[moneda]]="Total en ARS",Tabla3_1[[#This Row],[moneda]]="pesos"),Tabla3_1[[#This Row],[Valor]]*VLOOKUP(Tabla3_1[[#This Row],[añpo]],ipc!$A:$D,4,FALSE),Tabla3_1[[#This Row],[Valor]])</f>
        <v/>
      </c>
    </row>
    <row r="214">
      <c r="A214" t="n">
        <v>2006</v>
      </c>
      <c r="B214" t="inlineStr">
        <is>
          <t>pesos</t>
        </is>
      </c>
      <c r="C214" t="inlineStr">
        <is>
          <t>Organismos internacionales de crédito</t>
        </is>
      </c>
      <c r="E214">
        <f>IF(OR(Tabla3_1[[#This Row],[moneda]]="Total en ARS",Tabla3_1[[#This Row],[moneda]]="pesos"),Tabla3_1[[#This Row],[Valor]]*VLOOKUP(Tabla3_1[[#This Row],[añpo]],ipc!$A:$D,4,FALSE),Tabla3_1[[#This Row],[Valor]])</f>
        <v/>
      </c>
    </row>
    <row r="215">
      <c r="A215" t="n">
        <v>2006</v>
      </c>
      <c r="B215" t="inlineStr">
        <is>
          <t>pesos</t>
        </is>
      </c>
      <c r="C215" t="inlineStr">
        <is>
          <t>Garantías y/o avales</t>
        </is>
      </c>
      <c r="E215">
        <f>IF(OR(Tabla3_1[[#This Row],[moneda]]="Total en ARS",Tabla3_1[[#This Row],[moneda]]="pesos"),Tabla3_1[[#This Row],[Valor]]*VLOOKUP(Tabla3_1[[#This Row],[añpo]],ipc!$A:$D,4,FALSE),Tabla3_1[[#This Row],[Valor]])</f>
        <v/>
      </c>
    </row>
    <row r="216">
      <c r="A216" t="n">
        <v>2006</v>
      </c>
      <c r="B216" t="inlineStr">
        <is>
          <t>pesos</t>
        </is>
      </c>
      <c r="C216" t="inlineStr">
        <is>
          <t>Acuerdo OSPLAD</t>
        </is>
      </c>
      <c r="E216">
        <f>IF(OR(Tabla3_1[[#This Row],[moneda]]="Total en ARS",Tabla3_1[[#This Row],[moneda]]="pesos"),Tabla3_1[[#This Row],[Valor]]*VLOOKUP(Tabla3_1[[#This Row],[añpo]],ipc!$A:$D,4,FALSE),Tabla3_1[[#This Row],[Valor]])</f>
        <v/>
      </c>
    </row>
    <row r="217">
      <c r="A217" t="n">
        <v>2006</v>
      </c>
      <c r="B217" t="inlineStr">
        <is>
          <t>pesos</t>
        </is>
      </c>
      <c r="C217" t="inlineStr">
        <is>
          <t>Préstamo ANSES - Ley 5603</t>
        </is>
      </c>
      <c r="E217">
        <f>IF(OR(Tabla3_1[[#This Row],[moneda]]="Total en ARS",Tabla3_1[[#This Row],[moneda]]="pesos"),Tabla3_1[[#This Row],[Valor]]*VLOOKUP(Tabla3_1[[#This Row],[añpo]],ipc!$A:$D,4,FALSE),Tabla3_1[[#This Row],[Valor]])</f>
        <v/>
      </c>
    </row>
    <row r="218">
      <c r="A218" t="n">
        <v>2006</v>
      </c>
      <c r="B218" t="inlineStr">
        <is>
          <t>dólares</t>
        </is>
      </c>
      <c r="C218" t="inlineStr">
        <is>
          <t>Proveedores y Contratistas</t>
        </is>
      </c>
      <c r="D218" t="n">
        <v>404.6549</v>
      </c>
      <c r="E218">
        <f>IF(OR(Tabla3_1[[#This Row],[moneda]]="Total en ARS",Tabla3_1[[#This Row],[moneda]]="pesos"),Tabla3_1[[#This Row],[Valor]]*VLOOKUP(Tabla3_1[[#This Row],[añpo]],ipc!$A:$D,4,FALSE),Tabla3_1[[#This Row],[Valor]])</f>
        <v/>
      </c>
    </row>
    <row r="219">
      <c r="A219" t="n">
        <v>2006</v>
      </c>
      <c r="B219" t="inlineStr">
        <is>
          <t>dólares</t>
        </is>
      </c>
      <c r="C219" t="inlineStr">
        <is>
          <t>Deuda previsional</t>
        </is>
      </c>
      <c r="E219">
        <f>IF(OR(Tabla3_1[[#This Row],[moneda]]="Total en ARS",Tabla3_1[[#This Row],[moneda]]="pesos"),Tabla3_1[[#This Row],[Valor]]*VLOOKUP(Tabla3_1[[#This Row],[añpo]],ipc!$A:$D,4,FALSE),Tabla3_1[[#This Row],[Valor]])</f>
        <v/>
      </c>
    </row>
    <row r="220">
      <c r="A220" t="n">
        <v>2006</v>
      </c>
      <c r="B220" t="inlineStr">
        <is>
          <t>dólares</t>
        </is>
      </c>
      <c r="C220" t="inlineStr">
        <is>
          <t>Títulos públicos</t>
        </is>
      </c>
      <c r="E220">
        <f>IF(OR(Tabla3_1[[#This Row],[moneda]]="Total en ARS",Tabla3_1[[#This Row],[moneda]]="pesos"),Tabla3_1[[#This Row],[Valor]]*VLOOKUP(Tabla3_1[[#This Row],[añpo]],ipc!$A:$D,4,FALSE),Tabla3_1[[#This Row],[Valor]])</f>
        <v/>
      </c>
    </row>
    <row r="221">
      <c r="A221" t="n">
        <v>2006</v>
      </c>
      <c r="B221" t="inlineStr">
        <is>
          <t>dólares</t>
        </is>
      </c>
      <c r="C221" t="inlineStr">
        <is>
          <t>Letras del Tesoro Ley 3395 art. 2</t>
        </is>
      </c>
      <c r="E221">
        <f>IF(OR(Tabla3_1[[#This Row],[moneda]]="Total en ARS",Tabla3_1[[#This Row],[moneda]]="pesos"),Tabla3_1[[#This Row],[Valor]]*VLOOKUP(Tabla3_1[[#This Row],[añpo]],ipc!$A:$D,4,FALSE),Tabla3_1[[#This Row],[Valor]])</f>
        <v/>
      </c>
    </row>
    <row r="222">
      <c r="A222" t="n">
        <v>2006</v>
      </c>
      <c r="B222" t="inlineStr">
        <is>
          <t>dólares</t>
        </is>
      </c>
      <c r="C222" t="inlineStr">
        <is>
          <t xml:space="preserve">Deuda financiera </t>
        </is>
      </c>
      <c r="E222">
        <f>IF(OR(Tabla3_1[[#This Row],[moneda]]="Total en ARS",Tabla3_1[[#This Row],[moneda]]="pesos"),Tabla3_1[[#This Row],[Valor]]*VLOOKUP(Tabla3_1[[#This Row],[añpo]],ipc!$A:$D,4,FALSE),Tabla3_1[[#This Row],[Valor]])</f>
        <v/>
      </c>
    </row>
    <row r="223">
      <c r="A223" t="n">
        <v>2006</v>
      </c>
      <c r="B223" t="inlineStr">
        <is>
          <t>dólares</t>
        </is>
      </c>
      <c r="C223" t="inlineStr">
        <is>
          <t>Organismos internacionales de crédito</t>
        </is>
      </c>
      <c r="D223" t="n">
        <v>150.1699</v>
      </c>
      <c r="E223">
        <f>IF(OR(Tabla3_1[[#This Row],[moneda]]="Total en ARS",Tabla3_1[[#This Row],[moneda]]="pesos"),Tabla3_1[[#This Row],[Valor]]*VLOOKUP(Tabla3_1[[#This Row],[añpo]],ipc!$A:$D,4,FALSE),Tabla3_1[[#This Row],[Valor]])</f>
        <v/>
      </c>
    </row>
    <row r="224">
      <c r="A224" t="n">
        <v>2006</v>
      </c>
      <c r="B224" t="inlineStr">
        <is>
          <t>dólares</t>
        </is>
      </c>
      <c r="C224" t="inlineStr">
        <is>
          <t>Garantías y/o avales</t>
        </is>
      </c>
      <c r="E224">
        <f>IF(OR(Tabla3_1[[#This Row],[moneda]]="Total en ARS",Tabla3_1[[#This Row],[moneda]]="pesos"),Tabla3_1[[#This Row],[Valor]]*VLOOKUP(Tabla3_1[[#This Row],[añpo]],ipc!$A:$D,4,FALSE),Tabla3_1[[#This Row],[Valor]])</f>
        <v/>
      </c>
    </row>
    <row r="225">
      <c r="A225" t="n">
        <v>2006</v>
      </c>
      <c r="B225" t="inlineStr">
        <is>
          <t>dólares</t>
        </is>
      </c>
      <c r="C225" t="inlineStr">
        <is>
          <t>Acuerdo OSPLAD</t>
        </is>
      </c>
      <c r="E225">
        <f>IF(OR(Tabla3_1[[#This Row],[moneda]]="Total en ARS",Tabla3_1[[#This Row],[moneda]]="pesos"),Tabla3_1[[#This Row],[Valor]]*VLOOKUP(Tabla3_1[[#This Row],[añpo]],ipc!$A:$D,4,FALSE),Tabla3_1[[#This Row],[Valor]])</f>
        <v/>
      </c>
    </row>
    <row r="226">
      <c r="A226" t="n">
        <v>2006</v>
      </c>
      <c r="B226" t="inlineStr">
        <is>
          <t>dólares</t>
        </is>
      </c>
      <c r="C226" t="inlineStr">
        <is>
          <t>Préstamo ANSES - Ley 5603</t>
        </is>
      </c>
      <c r="E226">
        <f>IF(OR(Tabla3_1[[#This Row],[moneda]]="Total en ARS",Tabla3_1[[#This Row],[moneda]]="pesos"),Tabla3_1[[#This Row],[Valor]]*VLOOKUP(Tabla3_1[[#This Row],[añpo]],ipc!$A:$D,4,FALSE),Tabla3_1[[#This Row],[Valor]])</f>
        <v/>
      </c>
    </row>
    <row r="227">
      <c r="A227" t="n">
        <v>2006</v>
      </c>
      <c r="B227" t="inlineStr">
        <is>
          <t>euros</t>
        </is>
      </c>
      <c r="C227" t="inlineStr">
        <is>
          <t>Proveedores y Contratistas</t>
        </is>
      </c>
      <c r="D227" t="n">
        <v>107.9317</v>
      </c>
      <c r="E227">
        <f>IF(OR(Tabla3_1[[#This Row],[moneda]]="Total en ARS",Tabla3_1[[#This Row],[moneda]]="pesos"),Tabla3_1[[#This Row],[Valor]]*VLOOKUP(Tabla3_1[[#This Row],[añpo]],ipc!$A:$D,4,FALSE),Tabla3_1[[#This Row],[Valor]])</f>
        <v/>
      </c>
    </row>
    <row r="228">
      <c r="A228" t="n">
        <v>2006</v>
      </c>
      <c r="B228" t="inlineStr">
        <is>
          <t>euros</t>
        </is>
      </c>
      <c r="C228" t="inlineStr">
        <is>
          <t>Deuda previsional</t>
        </is>
      </c>
      <c r="E228">
        <f>IF(OR(Tabla3_1[[#This Row],[moneda]]="Total en ARS",Tabla3_1[[#This Row],[moneda]]="pesos"),Tabla3_1[[#This Row],[Valor]]*VLOOKUP(Tabla3_1[[#This Row],[añpo]],ipc!$A:$D,4,FALSE),Tabla3_1[[#This Row],[Valor]])</f>
        <v/>
      </c>
    </row>
    <row r="229">
      <c r="A229" t="n">
        <v>2006</v>
      </c>
      <c r="B229" t="inlineStr">
        <is>
          <t>euros</t>
        </is>
      </c>
      <c r="C229" t="inlineStr">
        <is>
          <t>Títulos públicos</t>
        </is>
      </c>
      <c r="E229">
        <f>IF(OR(Tabla3_1[[#This Row],[moneda]]="Total en ARS",Tabla3_1[[#This Row],[moneda]]="pesos"),Tabla3_1[[#This Row],[Valor]]*VLOOKUP(Tabla3_1[[#This Row],[añpo]],ipc!$A:$D,4,FALSE),Tabla3_1[[#This Row],[Valor]])</f>
        <v/>
      </c>
    </row>
    <row r="230">
      <c r="A230" t="n">
        <v>2006</v>
      </c>
      <c r="B230" t="inlineStr">
        <is>
          <t>euros</t>
        </is>
      </c>
      <c r="C230" t="inlineStr">
        <is>
          <t>Letras del Tesoro Ley 3395 art. 2</t>
        </is>
      </c>
      <c r="E230">
        <f>IF(OR(Tabla3_1[[#This Row],[moneda]]="Total en ARS",Tabla3_1[[#This Row],[moneda]]="pesos"),Tabla3_1[[#This Row],[Valor]]*VLOOKUP(Tabla3_1[[#This Row],[añpo]],ipc!$A:$D,4,FALSE),Tabla3_1[[#This Row],[Valor]])</f>
        <v/>
      </c>
    </row>
    <row r="231">
      <c r="A231" t="n">
        <v>2006</v>
      </c>
      <c r="B231" t="inlineStr">
        <is>
          <t>euros</t>
        </is>
      </c>
      <c r="C231" t="inlineStr">
        <is>
          <t xml:space="preserve">Deuda financiera </t>
        </is>
      </c>
      <c r="E231">
        <f>IF(OR(Tabla3_1[[#This Row],[moneda]]="Total en ARS",Tabla3_1[[#This Row],[moneda]]="pesos"),Tabla3_1[[#This Row],[Valor]]*VLOOKUP(Tabla3_1[[#This Row],[añpo]],ipc!$A:$D,4,FALSE),Tabla3_1[[#This Row],[Valor]])</f>
        <v/>
      </c>
    </row>
    <row r="232">
      <c r="A232" t="n">
        <v>2006</v>
      </c>
      <c r="B232" t="inlineStr">
        <is>
          <t>euros</t>
        </is>
      </c>
      <c r="C232" t="inlineStr">
        <is>
          <t>Organismos internacionales de crédito</t>
        </is>
      </c>
      <c r="E232">
        <f>IF(OR(Tabla3_1[[#This Row],[moneda]]="Total en ARS",Tabla3_1[[#This Row],[moneda]]="pesos"),Tabla3_1[[#This Row],[Valor]]*VLOOKUP(Tabla3_1[[#This Row],[añpo]],ipc!$A:$D,4,FALSE),Tabla3_1[[#This Row],[Valor]])</f>
        <v/>
      </c>
    </row>
    <row r="233">
      <c r="A233" t="n">
        <v>2006</v>
      </c>
      <c r="B233" t="inlineStr">
        <is>
          <t>euros</t>
        </is>
      </c>
      <c r="C233" t="inlineStr">
        <is>
          <t>Garantías y/o avales</t>
        </is>
      </c>
      <c r="E233">
        <f>IF(OR(Tabla3_1[[#This Row],[moneda]]="Total en ARS",Tabla3_1[[#This Row],[moneda]]="pesos"),Tabla3_1[[#This Row],[Valor]]*VLOOKUP(Tabla3_1[[#This Row],[añpo]],ipc!$A:$D,4,FALSE),Tabla3_1[[#This Row],[Valor]])</f>
        <v/>
      </c>
    </row>
    <row r="234">
      <c r="A234" t="n">
        <v>2006</v>
      </c>
      <c r="B234" t="inlineStr">
        <is>
          <t>euros</t>
        </is>
      </c>
      <c r="C234" t="inlineStr">
        <is>
          <t>Acuerdo OSPLAD</t>
        </is>
      </c>
      <c r="E234">
        <f>IF(OR(Tabla3_1[[#This Row],[moneda]]="Total en ARS",Tabla3_1[[#This Row],[moneda]]="pesos"),Tabla3_1[[#This Row],[Valor]]*VLOOKUP(Tabla3_1[[#This Row],[añpo]],ipc!$A:$D,4,FALSE),Tabla3_1[[#This Row],[Valor]])</f>
        <v/>
      </c>
    </row>
    <row r="235">
      <c r="A235" t="n">
        <v>2006</v>
      </c>
      <c r="B235" t="inlineStr">
        <is>
          <t>euros</t>
        </is>
      </c>
      <c r="C235" t="inlineStr">
        <is>
          <t>Préstamo ANSES - Ley 5603</t>
        </is>
      </c>
      <c r="E235">
        <f>IF(OR(Tabla3_1[[#This Row],[moneda]]="Total en ARS",Tabla3_1[[#This Row],[moneda]]="pesos"),Tabla3_1[[#This Row],[Valor]]*VLOOKUP(Tabla3_1[[#This Row],[añpo]],ipc!$A:$D,4,FALSE),Tabla3_1[[#This Row],[Valor]])</f>
        <v/>
      </c>
    </row>
    <row r="236">
      <c r="A236" t="n">
        <v>2007</v>
      </c>
      <c r="B236" t="inlineStr">
        <is>
          <t>Total en ARS</t>
        </is>
      </c>
      <c r="C236" t="inlineStr">
        <is>
          <t>Proveedores y Contratistas</t>
        </is>
      </c>
      <c r="D236" t="n">
        <v>2722.11991185</v>
      </c>
      <c r="E236">
        <f>IF(OR(Tabla3_1[[#This Row],[moneda]]="Total en ARS",Tabla3_1[[#This Row],[moneda]]="pesos"),Tabla3_1[[#This Row],[Valor]]*VLOOKUP(Tabla3_1[[#This Row],[añpo]],ipc!$A:$D,4,FALSE),Tabla3_1[[#This Row],[Valor]])</f>
        <v/>
      </c>
    </row>
    <row r="237">
      <c r="A237" t="n">
        <v>2007</v>
      </c>
      <c r="B237" t="inlineStr">
        <is>
          <t>Total en ARS</t>
        </is>
      </c>
      <c r="C237" t="inlineStr">
        <is>
          <t>Deuda previsional</t>
        </is>
      </c>
      <c r="D237" t="n">
        <v>962.4666999999999</v>
      </c>
      <c r="E237">
        <f>IF(OR(Tabla3_1[[#This Row],[moneda]]="Total en ARS",Tabla3_1[[#This Row],[moneda]]="pesos"),Tabla3_1[[#This Row],[Valor]]*VLOOKUP(Tabla3_1[[#This Row],[añpo]],ipc!$A:$D,4,FALSE),Tabla3_1[[#This Row],[Valor]])</f>
        <v/>
      </c>
    </row>
    <row r="238">
      <c r="A238" t="n">
        <v>2007</v>
      </c>
      <c r="B238" t="inlineStr">
        <is>
          <t>Total en ARS</t>
        </is>
      </c>
      <c r="C238" t="inlineStr">
        <is>
          <t>Títulos públicos</t>
        </is>
      </c>
      <c r="D238" t="n">
        <v>34.1133</v>
      </c>
      <c r="E238">
        <f>IF(OR(Tabla3_1[[#This Row],[moneda]]="Total en ARS",Tabla3_1[[#This Row],[moneda]]="pesos"),Tabla3_1[[#This Row],[Valor]]*VLOOKUP(Tabla3_1[[#This Row],[añpo]],ipc!$A:$D,4,FALSE),Tabla3_1[[#This Row],[Valor]])</f>
        <v/>
      </c>
    </row>
    <row r="239">
      <c r="A239" t="n">
        <v>2007</v>
      </c>
      <c r="B239" t="inlineStr">
        <is>
          <t>Total en ARS</t>
        </is>
      </c>
      <c r="C239" t="inlineStr">
        <is>
          <t>Letras del Tesoro Ley 3395 art. 2</t>
        </is>
      </c>
      <c r="E239">
        <f>IF(OR(Tabla3_1[[#This Row],[moneda]]="Total en ARS",Tabla3_1[[#This Row],[moneda]]="pesos"),Tabla3_1[[#This Row],[Valor]]*VLOOKUP(Tabla3_1[[#This Row],[añpo]],ipc!$A:$D,4,FALSE),Tabla3_1[[#This Row],[Valor]])</f>
        <v/>
      </c>
    </row>
    <row r="240">
      <c r="A240" t="n">
        <v>2007</v>
      </c>
      <c r="B240" t="inlineStr">
        <is>
          <t>Total en ARS</t>
        </is>
      </c>
      <c r="C240" t="inlineStr">
        <is>
          <t xml:space="preserve">Deuda financiera </t>
        </is>
      </c>
      <c r="D240" t="n">
        <v>5.4189</v>
      </c>
      <c r="E240">
        <f>IF(OR(Tabla3_1[[#This Row],[moneda]]="Total en ARS",Tabla3_1[[#This Row],[moneda]]="pesos"),Tabla3_1[[#This Row],[Valor]]*VLOOKUP(Tabla3_1[[#This Row],[añpo]],ipc!$A:$D,4,FALSE),Tabla3_1[[#This Row],[Valor]])</f>
        <v/>
      </c>
    </row>
    <row r="241">
      <c r="A241" t="n">
        <v>2007</v>
      </c>
      <c r="B241" t="inlineStr">
        <is>
          <t>Total en ARS</t>
        </is>
      </c>
      <c r="C241" t="inlineStr">
        <is>
          <t>Organismos internacionales de crédito</t>
        </is>
      </c>
      <c r="D241" t="n">
        <v>624.0108676</v>
      </c>
      <c r="E241">
        <f>IF(OR(Tabla3_1[[#This Row],[moneda]]="Total en ARS",Tabla3_1[[#This Row],[moneda]]="pesos"),Tabla3_1[[#This Row],[Valor]]*VLOOKUP(Tabla3_1[[#This Row],[añpo]],ipc!$A:$D,4,FALSE),Tabla3_1[[#This Row],[Valor]])</f>
        <v/>
      </c>
    </row>
    <row r="242">
      <c r="A242" t="n">
        <v>2007</v>
      </c>
      <c r="B242" t="inlineStr">
        <is>
          <t>Total en ARS</t>
        </is>
      </c>
      <c r="C242" t="inlineStr">
        <is>
          <t>Garantías y/o avales</t>
        </is>
      </c>
      <c r="D242" t="n">
        <v>6.780516</v>
      </c>
      <c r="E242">
        <f>IF(OR(Tabla3_1[[#This Row],[moneda]]="Total en ARS",Tabla3_1[[#This Row],[moneda]]="pesos"),Tabla3_1[[#This Row],[Valor]]*VLOOKUP(Tabla3_1[[#This Row],[añpo]],ipc!$A:$D,4,FALSE),Tabla3_1[[#This Row],[Valor]])</f>
        <v/>
      </c>
    </row>
    <row r="243">
      <c r="A243" t="n">
        <v>2007</v>
      </c>
      <c r="B243" t="inlineStr">
        <is>
          <t>Total en ARS</t>
        </is>
      </c>
      <c r="C243" t="inlineStr">
        <is>
          <t>Acuerdo OSPLAD</t>
        </is>
      </c>
      <c r="E243">
        <f>IF(OR(Tabla3_1[[#This Row],[moneda]]="Total en ARS",Tabla3_1[[#This Row],[moneda]]="pesos"),Tabla3_1[[#This Row],[Valor]]*VLOOKUP(Tabla3_1[[#This Row],[añpo]],ipc!$A:$D,4,FALSE),Tabla3_1[[#This Row],[Valor]])</f>
        <v/>
      </c>
    </row>
    <row r="244">
      <c r="A244" t="n">
        <v>2007</v>
      </c>
      <c r="B244" t="inlineStr">
        <is>
          <t>Total en ARS</t>
        </is>
      </c>
      <c r="C244" t="inlineStr">
        <is>
          <t>Préstamo ANSES - Ley 5603</t>
        </is>
      </c>
      <c r="E244">
        <f>IF(OR(Tabla3_1[[#This Row],[moneda]]="Total en ARS",Tabla3_1[[#This Row],[moneda]]="pesos"),Tabla3_1[[#This Row],[Valor]]*VLOOKUP(Tabla3_1[[#This Row],[añpo]],ipc!$A:$D,4,FALSE),Tabla3_1[[#This Row],[Valor]])</f>
        <v/>
      </c>
    </row>
    <row r="245">
      <c r="A245" t="n">
        <v>2007</v>
      </c>
      <c r="B245" t="inlineStr">
        <is>
          <t>pesos</t>
        </is>
      </c>
      <c r="C245" t="inlineStr">
        <is>
          <t>Proveedores y Contratistas</t>
        </is>
      </c>
      <c r="D245" t="n">
        <v>1096.9815</v>
      </c>
      <c r="E245">
        <f>IF(OR(Tabla3_1[[#This Row],[moneda]]="Total en ARS",Tabla3_1[[#This Row],[moneda]]="pesos"),Tabla3_1[[#This Row],[Valor]]*VLOOKUP(Tabla3_1[[#This Row],[añpo]],ipc!$A:$D,4,FALSE),Tabla3_1[[#This Row],[Valor]])</f>
        <v/>
      </c>
    </row>
    <row r="246">
      <c r="A246" t="n">
        <v>2007</v>
      </c>
      <c r="B246" t="inlineStr">
        <is>
          <t>pesos</t>
        </is>
      </c>
      <c r="C246" t="inlineStr">
        <is>
          <t>Deuda previsional</t>
        </is>
      </c>
      <c r="D246" t="n">
        <v>962.4666999999999</v>
      </c>
      <c r="E246">
        <f>IF(OR(Tabla3_1[[#This Row],[moneda]]="Total en ARS",Tabla3_1[[#This Row],[moneda]]="pesos"),Tabla3_1[[#This Row],[Valor]]*VLOOKUP(Tabla3_1[[#This Row],[añpo]],ipc!$A:$D,4,FALSE),Tabla3_1[[#This Row],[Valor]])</f>
        <v/>
      </c>
    </row>
    <row r="247">
      <c r="A247" t="n">
        <v>2007</v>
      </c>
      <c r="B247" t="inlineStr">
        <is>
          <t>pesos</t>
        </is>
      </c>
      <c r="C247" t="inlineStr">
        <is>
          <t>Títulos públicos</t>
        </is>
      </c>
      <c r="D247" t="n">
        <v>34.1133</v>
      </c>
      <c r="E247">
        <f>IF(OR(Tabla3_1[[#This Row],[moneda]]="Total en ARS",Tabla3_1[[#This Row],[moneda]]="pesos"),Tabla3_1[[#This Row],[Valor]]*VLOOKUP(Tabla3_1[[#This Row],[añpo]],ipc!$A:$D,4,FALSE),Tabla3_1[[#This Row],[Valor]])</f>
        <v/>
      </c>
    </row>
    <row r="248">
      <c r="A248" t="n">
        <v>2007</v>
      </c>
      <c r="B248" t="inlineStr">
        <is>
          <t>pesos</t>
        </is>
      </c>
      <c r="C248" t="inlineStr">
        <is>
          <t>Letras del Tesoro Ley 3395 art. 2</t>
        </is>
      </c>
      <c r="E248">
        <f>IF(OR(Tabla3_1[[#This Row],[moneda]]="Total en ARS",Tabla3_1[[#This Row],[moneda]]="pesos"),Tabla3_1[[#This Row],[Valor]]*VLOOKUP(Tabla3_1[[#This Row],[añpo]],ipc!$A:$D,4,FALSE),Tabla3_1[[#This Row],[Valor]])</f>
        <v/>
      </c>
    </row>
    <row r="249">
      <c r="A249" t="n">
        <v>2007</v>
      </c>
      <c r="B249" t="inlineStr">
        <is>
          <t>pesos</t>
        </is>
      </c>
      <c r="C249" t="inlineStr">
        <is>
          <t xml:space="preserve">Deuda financiera </t>
        </is>
      </c>
      <c r="D249" t="n">
        <v>5.4189</v>
      </c>
      <c r="E249">
        <f>IF(OR(Tabla3_1[[#This Row],[moneda]]="Total en ARS",Tabla3_1[[#This Row],[moneda]]="pesos"),Tabla3_1[[#This Row],[Valor]]*VLOOKUP(Tabla3_1[[#This Row],[añpo]],ipc!$A:$D,4,FALSE),Tabla3_1[[#This Row],[Valor]])</f>
        <v/>
      </c>
    </row>
    <row r="250">
      <c r="A250" t="n">
        <v>2007</v>
      </c>
      <c r="B250" t="inlineStr">
        <is>
          <t>pesos</t>
        </is>
      </c>
      <c r="C250" t="inlineStr">
        <is>
          <t>Organismos internacionales de crédito</t>
        </is>
      </c>
      <c r="E250">
        <f>IF(OR(Tabla3_1[[#This Row],[moneda]]="Total en ARS",Tabla3_1[[#This Row],[moneda]]="pesos"),Tabla3_1[[#This Row],[Valor]]*VLOOKUP(Tabla3_1[[#This Row],[añpo]],ipc!$A:$D,4,FALSE),Tabla3_1[[#This Row],[Valor]])</f>
        <v/>
      </c>
    </row>
    <row r="251">
      <c r="A251" t="n">
        <v>2007</v>
      </c>
      <c r="B251" t="inlineStr">
        <is>
          <t>pesos</t>
        </is>
      </c>
      <c r="C251" t="inlineStr">
        <is>
          <t>Garantías y/o avales</t>
        </is>
      </c>
      <c r="E251">
        <f>IF(OR(Tabla3_1[[#This Row],[moneda]]="Total en ARS",Tabla3_1[[#This Row],[moneda]]="pesos"),Tabla3_1[[#This Row],[Valor]]*VLOOKUP(Tabla3_1[[#This Row],[añpo]],ipc!$A:$D,4,FALSE),Tabla3_1[[#This Row],[Valor]])</f>
        <v/>
      </c>
    </row>
    <row r="252">
      <c r="A252" t="n">
        <v>2007</v>
      </c>
      <c r="B252" t="inlineStr">
        <is>
          <t>pesos</t>
        </is>
      </c>
      <c r="C252" t="inlineStr">
        <is>
          <t>Acuerdo OSPLAD</t>
        </is>
      </c>
      <c r="E252">
        <f>IF(OR(Tabla3_1[[#This Row],[moneda]]="Total en ARS",Tabla3_1[[#This Row],[moneda]]="pesos"),Tabla3_1[[#This Row],[Valor]]*VLOOKUP(Tabla3_1[[#This Row],[añpo]],ipc!$A:$D,4,FALSE),Tabla3_1[[#This Row],[Valor]])</f>
        <v/>
      </c>
    </row>
    <row r="253">
      <c r="A253" t="n">
        <v>2007</v>
      </c>
      <c r="B253" t="inlineStr">
        <is>
          <t>pesos</t>
        </is>
      </c>
      <c r="C253" t="inlineStr">
        <is>
          <t>Préstamo ANSES - Ley 5603</t>
        </is>
      </c>
      <c r="E253">
        <f>IF(OR(Tabla3_1[[#This Row],[moneda]]="Total en ARS",Tabla3_1[[#This Row],[moneda]]="pesos"),Tabla3_1[[#This Row],[Valor]]*VLOOKUP(Tabla3_1[[#This Row],[añpo]],ipc!$A:$D,4,FALSE),Tabla3_1[[#This Row],[Valor]])</f>
        <v/>
      </c>
    </row>
    <row r="254">
      <c r="A254" t="n">
        <v>2007</v>
      </c>
      <c r="B254" t="inlineStr">
        <is>
          <t>dólares</t>
        </is>
      </c>
      <c r="C254" t="inlineStr">
        <is>
          <t>Proveedores y Contratistas</t>
        </is>
      </c>
      <c r="D254" t="n">
        <v>452.143</v>
      </c>
      <c r="E254">
        <f>IF(OR(Tabla3_1[[#This Row],[moneda]]="Total en ARS",Tabla3_1[[#This Row],[moneda]]="pesos"),Tabla3_1[[#This Row],[Valor]]*VLOOKUP(Tabla3_1[[#This Row],[añpo]],ipc!$A:$D,4,FALSE),Tabla3_1[[#This Row],[Valor]])</f>
        <v/>
      </c>
    </row>
    <row r="255">
      <c r="A255" t="n">
        <v>2007</v>
      </c>
      <c r="B255" t="inlineStr">
        <is>
          <t>dólares</t>
        </is>
      </c>
      <c r="C255" t="inlineStr">
        <is>
          <t>Deuda previsional</t>
        </is>
      </c>
      <c r="E255">
        <f>IF(OR(Tabla3_1[[#This Row],[moneda]]="Total en ARS",Tabla3_1[[#This Row],[moneda]]="pesos"),Tabla3_1[[#This Row],[Valor]]*VLOOKUP(Tabla3_1[[#This Row],[añpo]],ipc!$A:$D,4,FALSE),Tabla3_1[[#This Row],[Valor]])</f>
        <v/>
      </c>
    </row>
    <row r="256">
      <c r="A256" t="n">
        <v>2007</v>
      </c>
      <c r="B256" t="inlineStr">
        <is>
          <t>dólares</t>
        </is>
      </c>
      <c r="C256" t="inlineStr">
        <is>
          <t>Títulos públicos</t>
        </is>
      </c>
      <c r="E256">
        <f>IF(OR(Tabla3_1[[#This Row],[moneda]]="Total en ARS",Tabla3_1[[#This Row],[moneda]]="pesos"),Tabla3_1[[#This Row],[Valor]]*VLOOKUP(Tabla3_1[[#This Row],[añpo]],ipc!$A:$D,4,FALSE),Tabla3_1[[#This Row],[Valor]])</f>
        <v/>
      </c>
    </row>
    <row r="257">
      <c r="A257" t="n">
        <v>2007</v>
      </c>
      <c r="B257" t="inlineStr">
        <is>
          <t>dólares</t>
        </is>
      </c>
      <c r="C257" t="inlineStr">
        <is>
          <t>Letras del Tesoro Ley 3395 art. 2</t>
        </is>
      </c>
      <c r="E257">
        <f>IF(OR(Tabla3_1[[#This Row],[moneda]]="Total en ARS",Tabla3_1[[#This Row],[moneda]]="pesos"),Tabla3_1[[#This Row],[Valor]]*VLOOKUP(Tabla3_1[[#This Row],[añpo]],ipc!$A:$D,4,FALSE),Tabla3_1[[#This Row],[Valor]])</f>
        <v/>
      </c>
    </row>
    <row r="258">
      <c r="A258" t="n">
        <v>2007</v>
      </c>
      <c r="B258" t="inlineStr">
        <is>
          <t>dólares</t>
        </is>
      </c>
      <c r="C258" t="inlineStr">
        <is>
          <t xml:space="preserve">Deuda financiera </t>
        </is>
      </c>
      <c r="E258">
        <f>IF(OR(Tabla3_1[[#This Row],[moneda]]="Total en ARS",Tabla3_1[[#This Row],[moneda]]="pesos"),Tabla3_1[[#This Row],[Valor]]*VLOOKUP(Tabla3_1[[#This Row],[añpo]],ipc!$A:$D,4,FALSE),Tabla3_1[[#This Row],[Valor]])</f>
        <v/>
      </c>
    </row>
    <row r="259">
      <c r="A259" t="n">
        <v>2007</v>
      </c>
      <c r="B259" t="inlineStr">
        <is>
          <t>dólares</t>
        </is>
      </c>
      <c r="C259" t="inlineStr">
        <is>
          <t>Organismos internacionales de crédito</t>
        </is>
      </c>
      <c r="D259" t="n">
        <v>197.658</v>
      </c>
      <c r="E259">
        <f>IF(OR(Tabla3_1[[#This Row],[moneda]]="Total en ARS",Tabla3_1[[#This Row],[moneda]]="pesos"),Tabla3_1[[#This Row],[Valor]]*VLOOKUP(Tabla3_1[[#This Row],[añpo]],ipc!$A:$D,4,FALSE),Tabla3_1[[#This Row],[Valor]])</f>
        <v/>
      </c>
    </row>
    <row r="260">
      <c r="A260" t="n">
        <v>2007</v>
      </c>
      <c r="B260" t="inlineStr">
        <is>
          <t>dólares</t>
        </is>
      </c>
      <c r="C260" t="inlineStr">
        <is>
          <t>Garantías y/o avales</t>
        </is>
      </c>
      <c r="E260">
        <f>IF(OR(Tabla3_1[[#This Row],[moneda]]="Total en ARS",Tabla3_1[[#This Row],[moneda]]="pesos"),Tabla3_1[[#This Row],[Valor]]*VLOOKUP(Tabla3_1[[#This Row],[añpo]],ipc!$A:$D,4,FALSE),Tabla3_1[[#This Row],[Valor]])</f>
        <v/>
      </c>
    </row>
    <row r="261">
      <c r="A261" t="n">
        <v>2007</v>
      </c>
      <c r="B261" t="inlineStr">
        <is>
          <t>dólares</t>
        </is>
      </c>
      <c r="C261" t="inlineStr">
        <is>
          <t>Acuerdo OSPLAD</t>
        </is>
      </c>
      <c r="E261">
        <f>IF(OR(Tabla3_1[[#This Row],[moneda]]="Total en ARS",Tabla3_1[[#This Row],[moneda]]="pesos"),Tabla3_1[[#This Row],[Valor]]*VLOOKUP(Tabla3_1[[#This Row],[añpo]],ipc!$A:$D,4,FALSE),Tabla3_1[[#This Row],[Valor]])</f>
        <v/>
      </c>
    </row>
    <row r="262">
      <c r="A262" t="n">
        <v>2007</v>
      </c>
      <c r="B262" t="inlineStr">
        <is>
          <t>dólares</t>
        </is>
      </c>
      <c r="C262" t="inlineStr">
        <is>
          <t>Préstamo ANSES - Ley 5603</t>
        </is>
      </c>
      <c r="E262">
        <f>IF(OR(Tabla3_1[[#This Row],[moneda]]="Total en ARS",Tabla3_1[[#This Row],[moneda]]="pesos"),Tabla3_1[[#This Row],[Valor]]*VLOOKUP(Tabla3_1[[#This Row],[añpo]],ipc!$A:$D,4,FALSE),Tabla3_1[[#This Row],[Valor]])</f>
        <v/>
      </c>
    </row>
    <row r="263">
      <c r="A263" t="n">
        <v>2007</v>
      </c>
      <c r="B263" t="inlineStr">
        <is>
          <t>euros</t>
        </is>
      </c>
      <c r="C263" t="inlineStr">
        <is>
          <t>Proveedores y Contratistas</t>
        </is>
      </c>
      <c r="D263" t="n">
        <v>43.4719</v>
      </c>
      <c r="E263">
        <f>IF(OR(Tabla3_1[[#This Row],[moneda]]="Total en ARS",Tabla3_1[[#This Row],[moneda]]="pesos"),Tabla3_1[[#This Row],[Valor]]*VLOOKUP(Tabla3_1[[#This Row],[añpo]],ipc!$A:$D,4,FALSE),Tabla3_1[[#This Row],[Valor]])</f>
        <v/>
      </c>
    </row>
    <row r="264">
      <c r="A264" t="n">
        <v>2007</v>
      </c>
      <c r="B264" t="inlineStr">
        <is>
          <t>euros</t>
        </is>
      </c>
      <c r="C264" t="inlineStr">
        <is>
          <t>Deuda previsional</t>
        </is>
      </c>
      <c r="E264">
        <f>IF(OR(Tabla3_1[[#This Row],[moneda]]="Total en ARS",Tabla3_1[[#This Row],[moneda]]="pesos"),Tabla3_1[[#This Row],[Valor]]*VLOOKUP(Tabla3_1[[#This Row],[añpo]],ipc!$A:$D,4,FALSE),Tabla3_1[[#This Row],[Valor]])</f>
        <v/>
      </c>
    </row>
    <row r="265">
      <c r="A265" t="n">
        <v>2007</v>
      </c>
      <c r="B265" t="inlineStr">
        <is>
          <t>euros</t>
        </is>
      </c>
      <c r="C265" t="inlineStr">
        <is>
          <t>Títulos públicos</t>
        </is>
      </c>
      <c r="E265">
        <f>IF(OR(Tabla3_1[[#This Row],[moneda]]="Total en ARS",Tabla3_1[[#This Row],[moneda]]="pesos"),Tabla3_1[[#This Row],[Valor]]*VLOOKUP(Tabla3_1[[#This Row],[añpo]],ipc!$A:$D,4,FALSE),Tabla3_1[[#This Row],[Valor]])</f>
        <v/>
      </c>
    </row>
    <row r="266">
      <c r="A266" t="n">
        <v>2007</v>
      </c>
      <c r="B266" t="inlineStr">
        <is>
          <t>euros</t>
        </is>
      </c>
      <c r="C266" t="inlineStr">
        <is>
          <t>Letras del Tesoro Ley 3395 art. 2</t>
        </is>
      </c>
      <c r="E266">
        <f>IF(OR(Tabla3_1[[#This Row],[moneda]]="Total en ARS",Tabla3_1[[#This Row],[moneda]]="pesos"),Tabla3_1[[#This Row],[Valor]]*VLOOKUP(Tabla3_1[[#This Row],[añpo]],ipc!$A:$D,4,FALSE),Tabla3_1[[#This Row],[Valor]])</f>
        <v/>
      </c>
    </row>
    <row r="267">
      <c r="A267" t="n">
        <v>2007</v>
      </c>
      <c r="B267" t="inlineStr">
        <is>
          <t>euros</t>
        </is>
      </c>
      <c r="C267" t="inlineStr">
        <is>
          <t xml:space="preserve">Deuda financiera </t>
        </is>
      </c>
      <c r="E267">
        <f>IF(OR(Tabla3_1[[#This Row],[moneda]]="Total en ARS",Tabla3_1[[#This Row],[moneda]]="pesos"),Tabla3_1[[#This Row],[Valor]]*VLOOKUP(Tabla3_1[[#This Row],[añpo]],ipc!$A:$D,4,FALSE),Tabla3_1[[#This Row],[Valor]])</f>
        <v/>
      </c>
    </row>
    <row r="268">
      <c r="A268" t="n">
        <v>2007</v>
      </c>
      <c r="B268" t="inlineStr">
        <is>
          <t>euros</t>
        </is>
      </c>
      <c r="C268" t="inlineStr">
        <is>
          <t>Organismos internacionales de crédito</t>
        </is>
      </c>
      <c r="D268" t="n">
        <v>0.3424</v>
      </c>
      <c r="E268">
        <f>IF(OR(Tabla3_1[[#This Row],[moneda]]="Total en ARS",Tabla3_1[[#This Row],[moneda]]="pesos"),Tabla3_1[[#This Row],[Valor]]*VLOOKUP(Tabla3_1[[#This Row],[añpo]],ipc!$A:$D,4,FALSE),Tabla3_1[[#This Row],[Valor]])</f>
        <v/>
      </c>
    </row>
    <row r="269">
      <c r="A269" t="n">
        <v>2007</v>
      </c>
      <c r="B269" t="inlineStr">
        <is>
          <t>euros</t>
        </is>
      </c>
      <c r="C269" t="inlineStr">
        <is>
          <t>Garantías y/o avales</t>
        </is>
      </c>
      <c r="D269" t="n">
        <v>1.464</v>
      </c>
      <c r="E269">
        <f>IF(OR(Tabla3_1[[#This Row],[moneda]]="Total en ARS",Tabla3_1[[#This Row],[moneda]]="pesos"),Tabla3_1[[#This Row],[Valor]]*VLOOKUP(Tabla3_1[[#This Row],[añpo]],ipc!$A:$D,4,FALSE),Tabla3_1[[#This Row],[Valor]])</f>
        <v/>
      </c>
    </row>
    <row r="270">
      <c r="A270" t="n">
        <v>2007</v>
      </c>
      <c r="B270" t="inlineStr">
        <is>
          <t>euros</t>
        </is>
      </c>
      <c r="C270" t="inlineStr">
        <is>
          <t>Acuerdo OSPLAD</t>
        </is>
      </c>
      <c r="E270">
        <f>IF(OR(Tabla3_1[[#This Row],[moneda]]="Total en ARS",Tabla3_1[[#This Row],[moneda]]="pesos"),Tabla3_1[[#This Row],[Valor]]*VLOOKUP(Tabla3_1[[#This Row],[añpo]],ipc!$A:$D,4,FALSE),Tabla3_1[[#This Row],[Valor]])</f>
        <v/>
      </c>
    </row>
    <row r="271">
      <c r="A271" t="n">
        <v>2007</v>
      </c>
      <c r="B271" t="inlineStr">
        <is>
          <t>euros</t>
        </is>
      </c>
      <c r="C271" t="inlineStr">
        <is>
          <t>Préstamo ANSES - Ley 5603</t>
        </is>
      </c>
      <c r="E271">
        <f>IF(OR(Tabla3_1[[#This Row],[moneda]]="Total en ARS",Tabla3_1[[#This Row],[moneda]]="pesos"),Tabla3_1[[#This Row],[Valor]]*VLOOKUP(Tabla3_1[[#This Row],[añpo]],ipc!$A:$D,4,FALSE),Tabla3_1[[#This Row],[Valor]])</f>
        <v/>
      </c>
    </row>
    <row r="272">
      <c r="A272" t="n">
        <v>2008</v>
      </c>
      <c r="B272" t="inlineStr">
        <is>
          <t>Total en ARS</t>
        </is>
      </c>
      <c r="C272" t="inlineStr">
        <is>
          <t>Proveedores y Contratistas</t>
        </is>
      </c>
      <c r="D272" t="n">
        <v>3688.0461065315</v>
      </c>
      <c r="E272">
        <f>IF(OR(Tabla3_1[[#This Row],[moneda]]="Total en ARS",Tabla3_1[[#This Row],[moneda]]="pesos"),Tabla3_1[[#This Row],[Valor]]*VLOOKUP(Tabla3_1[[#This Row],[añpo]],ipc!$A:$D,4,FALSE),Tabla3_1[[#This Row],[Valor]])</f>
        <v/>
      </c>
    </row>
    <row r="273">
      <c r="A273" t="n">
        <v>2008</v>
      </c>
      <c r="B273" t="inlineStr">
        <is>
          <t>Total en ARS</t>
        </is>
      </c>
      <c r="C273" t="inlineStr">
        <is>
          <t>Deuda previsional</t>
        </is>
      </c>
      <c r="D273" t="n">
        <v>1975.3239</v>
      </c>
      <c r="E273">
        <f>IF(OR(Tabla3_1[[#This Row],[moneda]]="Total en ARS",Tabla3_1[[#This Row],[moneda]]="pesos"),Tabla3_1[[#This Row],[Valor]]*VLOOKUP(Tabla3_1[[#This Row],[añpo]],ipc!$A:$D,4,FALSE),Tabla3_1[[#This Row],[Valor]])</f>
        <v/>
      </c>
    </row>
    <row r="274">
      <c r="A274" t="n">
        <v>2008</v>
      </c>
      <c r="B274" t="inlineStr">
        <is>
          <t>Total en ARS</t>
        </is>
      </c>
      <c r="C274" t="inlineStr">
        <is>
          <t>Títulos públicos</t>
        </is>
      </c>
      <c r="D274" t="n">
        <v>33.5211</v>
      </c>
      <c r="E274">
        <f>IF(OR(Tabla3_1[[#This Row],[moneda]]="Total en ARS",Tabla3_1[[#This Row],[moneda]]="pesos"),Tabla3_1[[#This Row],[Valor]]*VLOOKUP(Tabla3_1[[#This Row],[añpo]],ipc!$A:$D,4,FALSE),Tabla3_1[[#This Row],[Valor]])</f>
        <v/>
      </c>
    </row>
    <row r="275">
      <c r="A275" t="n">
        <v>2008</v>
      </c>
      <c r="B275" t="inlineStr">
        <is>
          <t>Total en ARS</t>
        </is>
      </c>
      <c r="C275" t="inlineStr">
        <is>
          <t>Letras del Tesoro Ley 3395 art. 2</t>
        </is>
      </c>
      <c r="E275">
        <f>IF(OR(Tabla3_1[[#This Row],[moneda]]="Total en ARS",Tabla3_1[[#This Row],[moneda]]="pesos"),Tabla3_1[[#This Row],[Valor]]*VLOOKUP(Tabla3_1[[#This Row],[añpo]],ipc!$A:$D,4,FALSE),Tabla3_1[[#This Row],[Valor]])</f>
        <v/>
      </c>
    </row>
    <row r="276">
      <c r="A276" t="n">
        <v>2008</v>
      </c>
      <c r="B276" t="inlineStr">
        <is>
          <t>Total en ARS</t>
        </is>
      </c>
      <c r="C276" t="inlineStr">
        <is>
          <t xml:space="preserve">Deuda financiera </t>
        </is>
      </c>
      <c r="D276" t="n">
        <v>4.0424</v>
      </c>
      <c r="E276">
        <f>IF(OR(Tabla3_1[[#This Row],[moneda]]="Total en ARS",Tabla3_1[[#This Row],[moneda]]="pesos"),Tabla3_1[[#This Row],[Valor]]*VLOOKUP(Tabla3_1[[#This Row],[añpo]],ipc!$A:$D,4,FALSE),Tabla3_1[[#This Row],[Valor]])</f>
        <v/>
      </c>
    </row>
    <row r="277">
      <c r="A277" t="n">
        <v>2008</v>
      </c>
      <c r="B277" t="inlineStr">
        <is>
          <t>Total en ARS</t>
        </is>
      </c>
      <c r="C277" t="inlineStr">
        <is>
          <t>Organismos internacionales de crédito</t>
        </is>
      </c>
      <c r="D277" t="n">
        <v>680.553168741</v>
      </c>
      <c r="E277">
        <f>IF(OR(Tabla3_1[[#This Row],[moneda]]="Total en ARS",Tabla3_1[[#This Row],[moneda]]="pesos"),Tabla3_1[[#This Row],[Valor]]*VLOOKUP(Tabla3_1[[#This Row],[añpo]],ipc!$A:$D,4,FALSE),Tabla3_1[[#This Row],[Valor]])</f>
        <v/>
      </c>
    </row>
    <row r="278">
      <c r="A278" t="n">
        <v>2008</v>
      </c>
      <c r="B278" t="inlineStr">
        <is>
          <t>Total en ARS</t>
        </is>
      </c>
      <c r="C278" t="inlineStr">
        <is>
          <t>Garantías y/o avales</t>
        </is>
      </c>
      <c r="E278">
        <f>IF(OR(Tabla3_1[[#This Row],[moneda]]="Total en ARS",Tabla3_1[[#This Row],[moneda]]="pesos"),Tabla3_1[[#This Row],[Valor]]*VLOOKUP(Tabla3_1[[#This Row],[añpo]],ipc!$A:$D,4,FALSE),Tabla3_1[[#This Row],[Valor]])</f>
        <v/>
      </c>
    </row>
    <row r="279">
      <c r="A279" t="n">
        <v>2008</v>
      </c>
      <c r="B279" t="inlineStr">
        <is>
          <t>Total en ARS</t>
        </is>
      </c>
      <c r="C279" t="inlineStr">
        <is>
          <t>Acuerdo OSPLAD</t>
        </is>
      </c>
      <c r="E279">
        <f>IF(OR(Tabla3_1[[#This Row],[moneda]]="Total en ARS",Tabla3_1[[#This Row],[moneda]]="pesos"),Tabla3_1[[#This Row],[Valor]]*VLOOKUP(Tabla3_1[[#This Row],[añpo]],ipc!$A:$D,4,FALSE),Tabla3_1[[#This Row],[Valor]])</f>
        <v/>
      </c>
    </row>
    <row r="280">
      <c r="A280" t="n">
        <v>2008</v>
      </c>
      <c r="B280" t="inlineStr">
        <is>
          <t>Total en ARS</t>
        </is>
      </c>
      <c r="C280" t="inlineStr">
        <is>
          <t>Préstamo ANSES - Ley 5603</t>
        </is>
      </c>
      <c r="E280">
        <f>IF(OR(Tabla3_1[[#This Row],[moneda]]="Total en ARS",Tabla3_1[[#This Row],[moneda]]="pesos"),Tabla3_1[[#This Row],[Valor]]*VLOOKUP(Tabla3_1[[#This Row],[añpo]],ipc!$A:$D,4,FALSE),Tabla3_1[[#This Row],[Valor]])</f>
        <v/>
      </c>
    </row>
    <row r="281">
      <c r="A281" t="n">
        <v>2008</v>
      </c>
      <c r="B281" t="inlineStr">
        <is>
          <t>pesos</t>
        </is>
      </c>
      <c r="C281" t="inlineStr">
        <is>
          <t>Proveedores y Contratistas</t>
        </is>
      </c>
      <c r="D281" t="n">
        <v>2070.2912</v>
      </c>
      <c r="E281">
        <f>IF(OR(Tabla3_1[[#This Row],[moneda]]="Total en ARS",Tabla3_1[[#This Row],[moneda]]="pesos"),Tabla3_1[[#This Row],[Valor]]*VLOOKUP(Tabla3_1[[#This Row],[añpo]],ipc!$A:$D,4,FALSE),Tabla3_1[[#This Row],[Valor]])</f>
        <v/>
      </c>
    </row>
    <row r="282">
      <c r="A282" t="n">
        <v>2008</v>
      </c>
      <c r="B282" t="inlineStr">
        <is>
          <t>pesos</t>
        </is>
      </c>
      <c r="C282" t="inlineStr">
        <is>
          <t>Deuda previsional</t>
        </is>
      </c>
      <c r="D282" t="n">
        <v>1975.3239</v>
      </c>
      <c r="E282">
        <f>IF(OR(Tabla3_1[[#This Row],[moneda]]="Total en ARS",Tabla3_1[[#This Row],[moneda]]="pesos"),Tabla3_1[[#This Row],[Valor]]*VLOOKUP(Tabla3_1[[#This Row],[añpo]],ipc!$A:$D,4,FALSE),Tabla3_1[[#This Row],[Valor]])</f>
        <v/>
      </c>
    </row>
    <row r="283">
      <c r="A283" t="n">
        <v>2008</v>
      </c>
      <c r="B283" t="inlineStr">
        <is>
          <t>pesos</t>
        </is>
      </c>
      <c r="C283" t="inlineStr">
        <is>
          <t>Títulos públicos</t>
        </is>
      </c>
      <c r="D283" t="n">
        <v>33.5211</v>
      </c>
      <c r="E283">
        <f>IF(OR(Tabla3_1[[#This Row],[moneda]]="Total en ARS",Tabla3_1[[#This Row],[moneda]]="pesos"),Tabla3_1[[#This Row],[Valor]]*VLOOKUP(Tabla3_1[[#This Row],[añpo]],ipc!$A:$D,4,FALSE),Tabla3_1[[#This Row],[Valor]])</f>
        <v/>
      </c>
    </row>
    <row r="284">
      <c r="A284" t="n">
        <v>2008</v>
      </c>
      <c r="B284" t="inlineStr">
        <is>
          <t>pesos</t>
        </is>
      </c>
      <c r="C284" t="inlineStr">
        <is>
          <t>Letras del Tesoro Ley 3395 art. 2</t>
        </is>
      </c>
      <c r="E284">
        <f>IF(OR(Tabla3_1[[#This Row],[moneda]]="Total en ARS",Tabla3_1[[#This Row],[moneda]]="pesos"),Tabla3_1[[#This Row],[Valor]]*VLOOKUP(Tabla3_1[[#This Row],[añpo]],ipc!$A:$D,4,FALSE),Tabla3_1[[#This Row],[Valor]])</f>
        <v/>
      </c>
    </row>
    <row r="285">
      <c r="A285" t="n">
        <v>2008</v>
      </c>
      <c r="B285" t="inlineStr">
        <is>
          <t>pesos</t>
        </is>
      </c>
      <c r="C285" t="inlineStr">
        <is>
          <t xml:space="preserve">Deuda financiera </t>
        </is>
      </c>
      <c r="D285" t="n">
        <v>4.0424</v>
      </c>
      <c r="E285">
        <f>IF(OR(Tabla3_1[[#This Row],[moneda]]="Total en ARS",Tabla3_1[[#This Row],[moneda]]="pesos"),Tabla3_1[[#This Row],[Valor]]*VLOOKUP(Tabla3_1[[#This Row],[añpo]],ipc!$A:$D,4,FALSE),Tabla3_1[[#This Row],[Valor]])</f>
        <v/>
      </c>
    </row>
    <row r="286">
      <c r="A286" t="n">
        <v>2008</v>
      </c>
      <c r="B286" t="inlineStr">
        <is>
          <t>pesos</t>
        </is>
      </c>
      <c r="C286" t="inlineStr">
        <is>
          <t>Organismos internacionales de crédito</t>
        </is>
      </c>
      <c r="E286">
        <f>IF(OR(Tabla3_1[[#This Row],[moneda]]="Total en ARS",Tabla3_1[[#This Row],[moneda]]="pesos"),Tabla3_1[[#This Row],[Valor]]*VLOOKUP(Tabla3_1[[#This Row],[añpo]],ipc!$A:$D,4,FALSE),Tabla3_1[[#This Row],[Valor]])</f>
        <v/>
      </c>
    </row>
    <row r="287">
      <c r="A287" t="n">
        <v>2008</v>
      </c>
      <c r="B287" t="inlineStr">
        <is>
          <t>pesos</t>
        </is>
      </c>
      <c r="C287" t="inlineStr">
        <is>
          <t>Garantías y/o avales</t>
        </is>
      </c>
      <c r="E287">
        <f>IF(OR(Tabla3_1[[#This Row],[moneda]]="Total en ARS",Tabla3_1[[#This Row],[moneda]]="pesos"),Tabla3_1[[#This Row],[Valor]]*VLOOKUP(Tabla3_1[[#This Row],[añpo]],ipc!$A:$D,4,FALSE),Tabla3_1[[#This Row],[Valor]])</f>
        <v/>
      </c>
    </row>
    <row r="288">
      <c r="A288" t="n">
        <v>2008</v>
      </c>
      <c r="B288" t="inlineStr">
        <is>
          <t>pesos</t>
        </is>
      </c>
      <c r="C288" t="inlineStr">
        <is>
          <t>Acuerdo OSPLAD</t>
        </is>
      </c>
      <c r="E288">
        <f>IF(OR(Tabla3_1[[#This Row],[moneda]]="Total en ARS",Tabla3_1[[#This Row],[moneda]]="pesos"),Tabla3_1[[#This Row],[Valor]]*VLOOKUP(Tabla3_1[[#This Row],[añpo]],ipc!$A:$D,4,FALSE),Tabla3_1[[#This Row],[Valor]])</f>
        <v/>
      </c>
    </row>
    <row r="289">
      <c r="A289" t="n">
        <v>2008</v>
      </c>
      <c r="B289" t="inlineStr">
        <is>
          <t>pesos</t>
        </is>
      </c>
      <c r="C289" t="inlineStr">
        <is>
          <t>Préstamo ANSES - Ley 5603</t>
        </is>
      </c>
      <c r="E289">
        <f>IF(OR(Tabla3_1[[#This Row],[moneda]]="Total en ARS",Tabla3_1[[#This Row],[moneda]]="pesos"),Tabla3_1[[#This Row],[Valor]]*VLOOKUP(Tabla3_1[[#This Row],[añpo]],ipc!$A:$D,4,FALSE),Tabla3_1[[#This Row],[Valor]])</f>
        <v/>
      </c>
    </row>
    <row r="290">
      <c r="A290" t="n">
        <v>2008</v>
      </c>
      <c r="B290" t="inlineStr">
        <is>
          <t>dólares</t>
        </is>
      </c>
      <c r="C290" t="inlineStr">
        <is>
          <t>Proveedores y Contratistas</t>
        </is>
      </c>
      <c r="D290" t="n">
        <v>441.9628</v>
      </c>
      <c r="E290">
        <f>IF(OR(Tabla3_1[[#This Row],[moneda]]="Total en ARS",Tabla3_1[[#This Row],[moneda]]="pesos"),Tabla3_1[[#This Row],[Valor]]*VLOOKUP(Tabla3_1[[#This Row],[añpo]],ipc!$A:$D,4,FALSE),Tabla3_1[[#This Row],[Valor]])</f>
        <v/>
      </c>
    </row>
    <row r="291">
      <c r="A291" t="n">
        <v>2008</v>
      </c>
      <c r="B291" t="inlineStr">
        <is>
          <t>dólares</t>
        </is>
      </c>
      <c r="C291" t="inlineStr">
        <is>
          <t>Deuda previsional</t>
        </is>
      </c>
      <c r="E291">
        <f>IF(OR(Tabla3_1[[#This Row],[moneda]]="Total en ARS",Tabla3_1[[#This Row],[moneda]]="pesos"),Tabla3_1[[#This Row],[Valor]]*VLOOKUP(Tabla3_1[[#This Row],[añpo]],ipc!$A:$D,4,FALSE),Tabla3_1[[#This Row],[Valor]])</f>
        <v/>
      </c>
    </row>
    <row r="292">
      <c r="A292" t="n">
        <v>2008</v>
      </c>
      <c r="B292" t="inlineStr">
        <is>
          <t>dólares</t>
        </is>
      </c>
      <c r="C292" t="inlineStr">
        <is>
          <t>Títulos públicos</t>
        </is>
      </c>
      <c r="E292">
        <f>IF(OR(Tabla3_1[[#This Row],[moneda]]="Total en ARS",Tabla3_1[[#This Row],[moneda]]="pesos"),Tabla3_1[[#This Row],[Valor]]*VLOOKUP(Tabla3_1[[#This Row],[añpo]],ipc!$A:$D,4,FALSE),Tabla3_1[[#This Row],[Valor]])</f>
        <v/>
      </c>
    </row>
    <row r="293">
      <c r="A293" t="n">
        <v>2008</v>
      </c>
      <c r="B293" t="inlineStr">
        <is>
          <t>dólares</t>
        </is>
      </c>
      <c r="C293" t="inlineStr">
        <is>
          <t>Letras del Tesoro Ley 3395 art. 2</t>
        </is>
      </c>
      <c r="E293">
        <f>IF(OR(Tabla3_1[[#This Row],[moneda]]="Total en ARS",Tabla3_1[[#This Row],[moneda]]="pesos"),Tabla3_1[[#This Row],[Valor]]*VLOOKUP(Tabla3_1[[#This Row],[añpo]],ipc!$A:$D,4,FALSE),Tabla3_1[[#This Row],[Valor]])</f>
        <v/>
      </c>
    </row>
    <row r="294">
      <c r="A294" t="n">
        <v>2008</v>
      </c>
      <c r="B294" t="inlineStr">
        <is>
          <t>dólares</t>
        </is>
      </c>
      <c r="C294" t="inlineStr">
        <is>
          <t xml:space="preserve">Deuda financiera </t>
        </is>
      </c>
      <c r="E294">
        <f>IF(OR(Tabla3_1[[#This Row],[moneda]]="Total en ARS",Tabla3_1[[#This Row],[moneda]]="pesos"),Tabla3_1[[#This Row],[Valor]]*VLOOKUP(Tabla3_1[[#This Row],[añpo]],ipc!$A:$D,4,FALSE),Tabla3_1[[#This Row],[Valor]])</f>
        <v/>
      </c>
    </row>
    <row r="295">
      <c r="A295" t="n">
        <v>2008</v>
      </c>
      <c r="B295" t="inlineStr">
        <is>
          <t>dólares</t>
        </is>
      </c>
      <c r="C295" t="inlineStr">
        <is>
          <t>Organismos internacionales de crédito</t>
        </is>
      </c>
      <c r="D295" t="n">
        <v>187.4778</v>
      </c>
      <c r="E295">
        <f>IF(OR(Tabla3_1[[#This Row],[moneda]]="Total en ARS",Tabla3_1[[#This Row],[moneda]]="pesos"),Tabla3_1[[#This Row],[Valor]]*VLOOKUP(Tabla3_1[[#This Row],[añpo]],ipc!$A:$D,4,FALSE),Tabla3_1[[#This Row],[Valor]])</f>
        <v/>
      </c>
    </row>
    <row r="296">
      <c r="A296" t="n">
        <v>2008</v>
      </c>
      <c r="B296" t="inlineStr">
        <is>
          <t>dólares</t>
        </is>
      </c>
      <c r="C296" t="inlineStr">
        <is>
          <t>Garantías y/o avales</t>
        </is>
      </c>
      <c r="E296">
        <f>IF(OR(Tabla3_1[[#This Row],[moneda]]="Total en ARS",Tabla3_1[[#This Row],[moneda]]="pesos"),Tabla3_1[[#This Row],[Valor]]*VLOOKUP(Tabla3_1[[#This Row],[añpo]],ipc!$A:$D,4,FALSE),Tabla3_1[[#This Row],[Valor]])</f>
        <v/>
      </c>
    </row>
    <row r="297">
      <c r="A297" t="n">
        <v>2008</v>
      </c>
      <c r="B297" t="inlineStr">
        <is>
          <t>dólares</t>
        </is>
      </c>
      <c r="C297" t="inlineStr">
        <is>
          <t>Acuerdo OSPLAD</t>
        </is>
      </c>
      <c r="E297">
        <f>IF(OR(Tabla3_1[[#This Row],[moneda]]="Total en ARS",Tabla3_1[[#This Row],[moneda]]="pesos"),Tabla3_1[[#This Row],[Valor]]*VLOOKUP(Tabla3_1[[#This Row],[añpo]],ipc!$A:$D,4,FALSE),Tabla3_1[[#This Row],[Valor]])</f>
        <v/>
      </c>
    </row>
    <row r="298">
      <c r="A298" t="n">
        <v>2008</v>
      </c>
      <c r="B298" t="inlineStr">
        <is>
          <t>dólares</t>
        </is>
      </c>
      <c r="C298" t="inlineStr">
        <is>
          <t>Préstamo ANSES - Ley 5603</t>
        </is>
      </c>
      <c r="E298">
        <f>IF(OR(Tabla3_1[[#This Row],[moneda]]="Total en ARS",Tabla3_1[[#This Row],[moneda]]="pesos"),Tabla3_1[[#This Row],[Valor]]*VLOOKUP(Tabla3_1[[#This Row],[añpo]],ipc!$A:$D,4,FALSE),Tabla3_1[[#This Row],[Valor]])</f>
        <v/>
      </c>
    </row>
    <row r="299">
      <c r="A299" t="n">
        <v>2008</v>
      </c>
      <c r="B299" t="inlineStr">
        <is>
          <t>euros</t>
        </is>
      </c>
      <c r="C299" t="inlineStr">
        <is>
          <t>Proveedores y Contratistas</t>
        </is>
      </c>
      <c r="D299" t="n">
        <v>19.0719</v>
      </c>
      <c r="E299">
        <f>IF(OR(Tabla3_1[[#This Row],[moneda]]="Total en ARS",Tabla3_1[[#This Row],[moneda]]="pesos"),Tabla3_1[[#This Row],[Valor]]*VLOOKUP(Tabla3_1[[#This Row],[añpo]],ipc!$A:$D,4,FALSE),Tabla3_1[[#This Row],[Valor]])</f>
        <v/>
      </c>
    </row>
    <row r="300">
      <c r="A300" t="n">
        <v>2008</v>
      </c>
      <c r="B300" t="inlineStr">
        <is>
          <t>euros</t>
        </is>
      </c>
      <c r="C300" t="inlineStr">
        <is>
          <t>Deuda previsional</t>
        </is>
      </c>
      <c r="E300">
        <f>IF(OR(Tabla3_1[[#This Row],[moneda]]="Total en ARS",Tabla3_1[[#This Row],[moneda]]="pesos"),Tabla3_1[[#This Row],[Valor]]*VLOOKUP(Tabla3_1[[#This Row],[añpo]],ipc!$A:$D,4,FALSE),Tabla3_1[[#This Row],[Valor]])</f>
        <v/>
      </c>
    </row>
    <row r="301">
      <c r="A301" t="n">
        <v>2008</v>
      </c>
      <c r="B301" t="inlineStr">
        <is>
          <t>euros</t>
        </is>
      </c>
      <c r="C301" t="inlineStr">
        <is>
          <t>Títulos públicos</t>
        </is>
      </c>
      <c r="E301">
        <f>IF(OR(Tabla3_1[[#This Row],[moneda]]="Total en ARS",Tabla3_1[[#This Row],[moneda]]="pesos"),Tabla3_1[[#This Row],[Valor]]*VLOOKUP(Tabla3_1[[#This Row],[añpo]],ipc!$A:$D,4,FALSE),Tabla3_1[[#This Row],[Valor]])</f>
        <v/>
      </c>
    </row>
    <row r="302">
      <c r="A302" t="n">
        <v>2008</v>
      </c>
      <c r="B302" t="inlineStr">
        <is>
          <t>euros</t>
        </is>
      </c>
      <c r="C302" t="inlineStr">
        <is>
          <t>Letras del Tesoro Ley 3395 art. 2</t>
        </is>
      </c>
      <c r="E302">
        <f>IF(OR(Tabla3_1[[#This Row],[moneda]]="Total en ARS",Tabla3_1[[#This Row],[moneda]]="pesos"),Tabla3_1[[#This Row],[Valor]]*VLOOKUP(Tabla3_1[[#This Row],[añpo]],ipc!$A:$D,4,FALSE),Tabla3_1[[#This Row],[Valor]])</f>
        <v/>
      </c>
    </row>
    <row r="303">
      <c r="A303" t="n">
        <v>2008</v>
      </c>
      <c r="B303" t="inlineStr">
        <is>
          <t>euros</t>
        </is>
      </c>
      <c r="C303" t="inlineStr">
        <is>
          <t xml:space="preserve">Deuda financiera </t>
        </is>
      </c>
      <c r="E303">
        <f>IF(OR(Tabla3_1[[#This Row],[moneda]]="Total en ARS",Tabla3_1[[#This Row],[moneda]]="pesos"),Tabla3_1[[#This Row],[Valor]]*VLOOKUP(Tabla3_1[[#This Row],[añpo]],ipc!$A:$D,4,FALSE),Tabla3_1[[#This Row],[Valor]])</f>
        <v/>
      </c>
    </row>
    <row r="304">
      <c r="A304" t="n">
        <v>2008</v>
      </c>
      <c r="B304" t="inlineStr">
        <is>
          <t>euros</t>
        </is>
      </c>
      <c r="C304" t="inlineStr">
        <is>
          <t>Organismos internacionales de crédito</t>
        </is>
      </c>
      <c r="D304" t="n">
        <v>6.9066</v>
      </c>
      <c r="E304">
        <f>IF(OR(Tabla3_1[[#This Row],[moneda]]="Total en ARS",Tabla3_1[[#This Row],[moneda]]="pesos"),Tabla3_1[[#This Row],[Valor]]*VLOOKUP(Tabla3_1[[#This Row],[añpo]],ipc!$A:$D,4,FALSE),Tabla3_1[[#This Row],[Valor]])</f>
        <v/>
      </c>
    </row>
    <row r="305">
      <c r="A305" t="n">
        <v>2008</v>
      </c>
      <c r="B305" t="inlineStr">
        <is>
          <t>euros</t>
        </is>
      </c>
      <c r="C305" t="inlineStr">
        <is>
          <t>Garantías y/o avales</t>
        </is>
      </c>
      <c r="E305">
        <f>IF(OR(Tabla3_1[[#This Row],[moneda]]="Total en ARS",Tabla3_1[[#This Row],[moneda]]="pesos"),Tabla3_1[[#This Row],[Valor]]*VLOOKUP(Tabla3_1[[#This Row],[añpo]],ipc!$A:$D,4,FALSE),Tabla3_1[[#This Row],[Valor]])</f>
        <v/>
      </c>
    </row>
    <row r="306">
      <c r="A306" t="n">
        <v>2008</v>
      </c>
      <c r="B306" t="inlineStr">
        <is>
          <t>euros</t>
        </is>
      </c>
      <c r="C306" t="inlineStr">
        <is>
          <t>Acuerdo OSPLAD</t>
        </is>
      </c>
      <c r="E306">
        <f>IF(OR(Tabla3_1[[#This Row],[moneda]]="Total en ARS",Tabla3_1[[#This Row],[moneda]]="pesos"),Tabla3_1[[#This Row],[Valor]]*VLOOKUP(Tabla3_1[[#This Row],[añpo]],ipc!$A:$D,4,FALSE),Tabla3_1[[#This Row],[Valor]])</f>
        <v/>
      </c>
    </row>
    <row r="307">
      <c r="A307" t="n">
        <v>2008</v>
      </c>
      <c r="B307" t="inlineStr">
        <is>
          <t>euros</t>
        </is>
      </c>
      <c r="C307" t="inlineStr">
        <is>
          <t>Préstamo ANSES - Ley 5603</t>
        </is>
      </c>
      <c r="E307">
        <f>IF(OR(Tabla3_1[[#This Row],[moneda]]="Total en ARS",Tabla3_1[[#This Row],[moneda]]="pesos"),Tabla3_1[[#This Row],[Valor]]*VLOOKUP(Tabla3_1[[#This Row],[añpo]],ipc!$A:$D,4,FALSE),Tabla3_1[[#This Row],[Valor]])</f>
        <v/>
      </c>
    </row>
    <row r="308">
      <c r="A308" t="n">
        <v>2009</v>
      </c>
      <c r="B308" t="inlineStr">
        <is>
          <t>Total en ARS</t>
        </is>
      </c>
      <c r="C308" t="inlineStr">
        <is>
          <t>Proveedores y Contratistas</t>
        </is>
      </c>
      <c r="D308" t="n">
        <v>4899.370722811999</v>
      </c>
      <c r="E308">
        <f>IF(OR(Tabla3_1[[#This Row],[moneda]]="Total en ARS",Tabla3_1[[#This Row],[moneda]]="pesos"),Tabla3_1[[#This Row],[Valor]]*VLOOKUP(Tabla3_1[[#This Row],[añpo]],ipc!$A:$D,4,FALSE),Tabla3_1[[#This Row],[Valor]])</f>
        <v/>
      </c>
    </row>
    <row r="309">
      <c r="A309" t="n">
        <v>2009</v>
      </c>
      <c r="B309" t="inlineStr">
        <is>
          <t>Total en ARS</t>
        </is>
      </c>
      <c r="C309" t="inlineStr">
        <is>
          <t>Deuda previsional</t>
        </is>
      </c>
      <c r="D309" t="n">
        <v>2326.3446</v>
      </c>
      <c r="E309">
        <f>IF(OR(Tabla3_1[[#This Row],[moneda]]="Total en ARS",Tabla3_1[[#This Row],[moneda]]="pesos"),Tabla3_1[[#This Row],[Valor]]*VLOOKUP(Tabla3_1[[#This Row],[añpo]],ipc!$A:$D,4,FALSE),Tabla3_1[[#This Row],[Valor]])</f>
        <v/>
      </c>
    </row>
    <row r="310">
      <c r="A310" t="n">
        <v>2009</v>
      </c>
      <c r="B310" t="inlineStr">
        <is>
          <t>Total en ARS</t>
        </is>
      </c>
      <c r="C310" t="inlineStr">
        <is>
          <t>Títulos públicos</t>
        </is>
      </c>
      <c r="D310" t="n">
        <v>33.1605</v>
      </c>
      <c r="E310">
        <f>IF(OR(Tabla3_1[[#This Row],[moneda]]="Total en ARS",Tabla3_1[[#This Row],[moneda]]="pesos"),Tabla3_1[[#This Row],[Valor]]*VLOOKUP(Tabla3_1[[#This Row],[añpo]],ipc!$A:$D,4,FALSE),Tabla3_1[[#This Row],[Valor]])</f>
        <v/>
      </c>
    </row>
    <row r="311">
      <c r="A311" t="n">
        <v>2009</v>
      </c>
      <c r="B311" t="inlineStr">
        <is>
          <t>Total en ARS</t>
        </is>
      </c>
      <c r="C311" t="inlineStr">
        <is>
          <t>Letras del Tesoro Ley 3395 art. 2</t>
        </is>
      </c>
      <c r="D311" t="n">
        <v>300.7434</v>
      </c>
      <c r="E311">
        <f>IF(OR(Tabla3_1[[#This Row],[moneda]]="Total en ARS",Tabla3_1[[#This Row],[moneda]]="pesos"),Tabla3_1[[#This Row],[Valor]]*VLOOKUP(Tabla3_1[[#This Row],[añpo]],ipc!$A:$D,4,FALSE),Tabla3_1[[#This Row],[Valor]])</f>
        <v/>
      </c>
    </row>
    <row r="312">
      <c r="A312" t="n">
        <v>2009</v>
      </c>
      <c r="B312" t="inlineStr">
        <is>
          <t>Total en ARS</t>
        </is>
      </c>
      <c r="C312" t="inlineStr">
        <is>
          <t xml:space="preserve">Deuda financiera </t>
        </is>
      </c>
      <c r="D312" t="n">
        <v>1.7782</v>
      </c>
      <c r="E312">
        <f>IF(OR(Tabla3_1[[#This Row],[moneda]]="Total en ARS",Tabla3_1[[#This Row],[moneda]]="pesos"),Tabla3_1[[#This Row],[Valor]]*VLOOKUP(Tabla3_1[[#This Row],[añpo]],ipc!$A:$D,4,FALSE),Tabla3_1[[#This Row],[Valor]])</f>
        <v/>
      </c>
    </row>
    <row r="313">
      <c r="A313" t="n">
        <v>2009</v>
      </c>
      <c r="B313" t="inlineStr">
        <is>
          <t>Total en ARS</t>
        </is>
      </c>
      <c r="C313" t="inlineStr">
        <is>
          <t>Organismos internacionales de crédito</t>
        </is>
      </c>
      <c r="D313" t="n">
        <v>775.4652428119999</v>
      </c>
      <c r="E313">
        <f>IF(OR(Tabla3_1[[#This Row],[moneda]]="Total en ARS",Tabla3_1[[#This Row],[moneda]]="pesos"),Tabla3_1[[#This Row],[Valor]]*VLOOKUP(Tabla3_1[[#This Row],[añpo]],ipc!$A:$D,4,FALSE),Tabla3_1[[#This Row],[Valor]])</f>
        <v/>
      </c>
    </row>
    <row r="314">
      <c r="A314" t="n">
        <v>2009</v>
      </c>
      <c r="B314" t="inlineStr">
        <is>
          <t>Total en ARS</t>
        </is>
      </c>
      <c r="C314" t="inlineStr">
        <is>
          <t>Garantías y/o avales</t>
        </is>
      </c>
      <c r="E314">
        <f>IF(OR(Tabla3_1[[#This Row],[moneda]]="Total en ARS",Tabla3_1[[#This Row],[moneda]]="pesos"),Tabla3_1[[#This Row],[Valor]]*VLOOKUP(Tabla3_1[[#This Row],[añpo]],ipc!$A:$D,4,FALSE),Tabla3_1[[#This Row],[Valor]])</f>
        <v/>
      </c>
    </row>
    <row r="315">
      <c r="A315" t="n">
        <v>2009</v>
      </c>
      <c r="B315" t="inlineStr">
        <is>
          <t>Total en ARS</t>
        </is>
      </c>
      <c r="C315" t="inlineStr">
        <is>
          <t>Acuerdo OSPLAD</t>
        </is>
      </c>
      <c r="E315">
        <f>IF(OR(Tabla3_1[[#This Row],[moneda]]="Total en ARS",Tabla3_1[[#This Row],[moneda]]="pesos"),Tabla3_1[[#This Row],[Valor]]*VLOOKUP(Tabla3_1[[#This Row],[añpo]],ipc!$A:$D,4,FALSE),Tabla3_1[[#This Row],[Valor]])</f>
        <v/>
      </c>
    </row>
    <row r="316">
      <c r="A316" t="n">
        <v>2009</v>
      </c>
      <c r="B316" t="inlineStr">
        <is>
          <t>Total en ARS</t>
        </is>
      </c>
      <c r="C316" t="inlineStr">
        <is>
          <t>Préstamo ANSES - Ley 5603</t>
        </is>
      </c>
      <c r="E316">
        <f>IF(OR(Tabla3_1[[#This Row],[moneda]]="Total en ARS",Tabla3_1[[#This Row],[moneda]]="pesos"),Tabla3_1[[#This Row],[Valor]]*VLOOKUP(Tabla3_1[[#This Row],[añpo]],ipc!$A:$D,4,FALSE),Tabla3_1[[#This Row],[Valor]])</f>
        <v/>
      </c>
    </row>
    <row r="317">
      <c r="A317" t="n">
        <v>2009</v>
      </c>
      <c r="B317" t="inlineStr">
        <is>
          <t>pesos</t>
        </is>
      </c>
      <c r="C317" t="inlineStr">
        <is>
          <t>Proveedores y Contratistas</t>
        </is>
      </c>
      <c r="D317" t="n">
        <v>3288.2338</v>
      </c>
      <c r="E317">
        <f>IF(OR(Tabla3_1[[#This Row],[moneda]]="Total en ARS",Tabla3_1[[#This Row],[moneda]]="pesos"),Tabla3_1[[#This Row],[Valor]]*VLOOKUP(Tabla3_1[[#This Row],[añpo]],ipc!$A:$D,4,FALSE),Tabla3_1[[#This Row],[Valor]])</f>
        <v/>
      </c>
    </row>
    <row r="318">
      <c r="A318" t="n">
        <v>2009</v>
      </c>
      <c r="B318" t="inlineStr">
        <is>
          <t>pesos</t>
        </is>
      </c>
      <c r="C318" t="inlineStr">
        <is>
          <t>Deuda previsional</t>
        </is>
      </c>
      <c r="D318" t="n">
        <v>2326.3446</v>
      </c>
      <c r="E318">
        <f>IF(OR(Tabla3_1[[#This Row],[moneda]]="Total en ARS",Tabla3_1[[#This Row],[moneda]]="pesos"),Tabla3_1[[#This Row],[Valor]]*VLOOKUP(Tabla3_1[[#This Row],[añpo]],ipc!$A:$D,4,FALSE),Tabla3_1[[#This Row],[Valor]])</f>
        <v/>
      </c>
    </row>
    <row r="319">
      <c r="A319" t="n">
        <v>2009</v>
      </c>
      <c r="B319" t="inlineStr">
        <is>
          <t>pesos</t>
        </is>
      </c>
      <c r="C319" t="inlineStr">
        <is>
          <t>Títulos públicos</t>
        </is>
      </c>
      <c r="D319" t="n">
        <v>33.1605</v>
      </c>
      <c r="E319">
        <f>IF(OR(Tabla3_1[[#This Row],[moneda]]="Total en ARS",Tabla3_1[[#This Row],[moneda]]="pesos"),Tabla3_1[[#This Row],[Valor]]*VLOOKUP(Tabla3_1[[#This Row],[añpo]],ipc!$A:$D,4,FALSE),Tabla3_1[[#This Row],[Valor]])</f>
        <v/>
      </c>
    </row>
    <row r="320">
      <c r="A320" t="n">
        <v>2009</v>
      </c>
      <c r="B320" t="inlineStr">
        <is>
          <t>pesos</t>
        </is>
      </c>
      <c r="C320" t="inlineStr">
        <is>
          <t>Letras del Tesoro Ley 3395 art. 2</t>
        </is>
      </c>
      <c r="D320" t="n">
        <v>300.7434</v>
      </c>
      <c r="E320">
        <f>IF(OR(Tabla3_1[[#This Row],[moneda]]="Total en ARS",Tabla3_1[[#This Row],[moneda]]="pesos"),Tabla3_1[[#This Row],[Valor]]*VLOOKUP(Tabla3_1[[#This Row],[añpo]],ipc!$A:$D,4,FALSE),Tabla3_1[[#This Row],[Valor]])</f>
        <v/>
      </c>
    </row>
    <row r="321">
      <c r="A321" t="n">
        <v>2009</v>
      </c>
      <c r="B321" t="inlineStr">
        <is>
          <t>pesos</t>
        </is>
      </c>
      <c r="C321" t="inlineStr">
        <is>
          <t xml:space="preserve">Deuda financiera </t>
        </is>
      </c>
      <c r="D321" t="n">
        <v>1.7782</v>
      </c>
      <c r="E321">
        <f>IF(OR(Tabla3_1[[#This Row],[moneda]]="Total en ARS",Tabla3_1[[#This Row],[moneda]]="pesos"),Tabla3_1[[#This Row],[Valor]]*VLOOKUP(Tabla3_1[[#This Row],[añpo]],ipc!$A:$D,4,FALSE),Tabla3_1[[#This Row],[Valor]])</f>
        <v/>
      </c>
    </row>
    <row r="322">
      <c r="A322" t="n">
        <v>2009</v>
      </c>
      <c r="B322" t="inlineStr">
        <is>
          <t>pesos</t>
        </is>
      </c>
      <c r="C322" t="inlineStr">
        <is>
          <t>Organismos internacionales de crédito</t>
        </is>
      </c>
      <c r="E322">
        <f>IF(OR(Tabla3_1[[#This Row],[moneda]]="Total en ARS",Tabla3_1[[#This Row],[moneda]]="pesos"),Tabla3_1[[#This Row],[Valor]]*VLOOKUP(Tabla3_1[[#This Row],[añpo]],ipc!$A:$D,4,FALSE),Tabla3_1[[#This Row],[Valor]])</f>
        <v/>
      </c>
    </row>
    <row r="323">
      <c r="A323" t="n">
        <v>2009</v>
      </c>
      <c r="B323" t="inlineStr">
        <is>
          <t>pesos</t>
        </is>
      </c>
      <c r="C323" t="inlineStr">
        <is>
          <t>Garantías y/o avales</t>
        </is>
      </c>
      <c r="E323">
        <f>IF(OR(Tabla3_1[[#This Row],[moneda]]="Total en ARS",Tabla3_1[[#This Row],[moneda]]="pesos"),Tabla3_1[[#This Row],[Valor]]*VLOOKUP(Tabla3_1[[#This Row],[añpo]],ipc!$A:$D,4,FALSE),Tabla3_1[[#This Row],[Valor]])</f>
        <v/>
      </c>
    </row>
    <row r="324">
      <c r="A324" t="n">
        <v>2009</v>
      </c>
      <c r="B324" t="inlineStr">
        <is>
          <t>pesos</t>
        </is>
      </c>
      <c r="C324" t="inlineStr">
        <is>
          <t>Acuerdo OSPLAD</t>
        </is>
      </c>
      <c r="E324">
        <f>IF(OR(Tabla3_1[[#This Row],[moneda]]="Total en ARS",Tabla3_1[[#This Row],[moneda]]="pesos"),Tabla3_1[[#This Row],[Valor]]*VLOOKUP(Tabla3_1[[#This Row],[añpo]],ipc!$A:$D,4,FALSE),Tabla3_1[[#This Row],[Valor]])</f>
        <v/>
      </c>
    </row>
    <row r="325">
      <c r="A325" t="n">
        <v>2009</v>
      </c>
      <c r="B325" t="inlineStr">
        <is>
          <t>pesos</t>
        </is>
      </c>
      <c r="C325" t="inlineStr">
        <is>
          <t>Préstamo ANSES - Ley 5603</t>
        </is>
      </c>
      <c r="E325">
        <f>IF(OR(Tabla3_1[[#This Row],[moneda]]="Total en ARS",Tabla3_1[[#This Row],[moneda]]="pesos"),Tabla3_1[[#This Row],[Valor]]*VLOOKUP(Tabla3_1[[#This Row],[añpo]],ipc!$A:$D,4,FALSE),Tabla3_1[[#This Row],[Valor]])</f>
        <v/>
      </c>
    </row>
    <row r="326">
      <c r="A326" t="n">
        <v>2009</v>
      </c>
      <c r="B326" t="inlineStr">
        <is>
          <t>dólares</t>
        </is>
      </c>
      <c r="C326" t="inlineStr">
        <is>
          <t>Proveedores y Contratistas</t>
        </is>
      </c>
      <c r="D326" t="n">
        <v>389.0427</v>
      </c>
      <c r="E326">
        <f>IF(OR(Tabla3_1[[#This Row],[moneda]]="Total en ARS",Tabla3_1[[#This Row],[moneda]]="pesos"),Tabla3_1[[#This Row],[Valor]]*VLOOKUP(Tabla3_1[[#This Row],[añpo]],ipc!$A:$D,4,FALSE),Tabla3_1[[#This Row],[Valor]])</f>
        <v/>
      </c>
    </row>
    <row r="327">
      <c r="A327" t="n">
        <v>2009</v>
      </c>
      <c r="B327" t="inlineStr">
        <is>
          <t>dólares</t>
        </is>
      </c>
      <c r="C327" t="inlineStr">
        <is>
          <t>Deuda previsional</t>
        </is>
      </c>
      <c r="E327">
        <f>IF(OR(Tabla3_1[[#This Row],[moneda]]="Total en ARS",Tabla3_1[[#This Row],[moneda]]="pesos"),Tabla3_1[[#This Row],[Valor]]*VLOOKUP(Tabla3_1[[#This Row],[añpo]],ipc!$A:$D,4,FALSE),Tabla3_1[[#This Row],[Valor]])</f>
        <v/>
      </c>
    </row>
    <row r="328">
      <c r="A328" t="n">
        <v>2009</v>
      </c>
      <c r="B328" t="inlineStr">
        <is>
          <t>dólares</t>
        </is>
      </c>
      <c r="C328" t="inlineStr">
        <is>
          <t>Títulos públicos</t>
        </is>
      </c>
      <c r="E328">
        <f>IF(OR(Tabla3_1[[#This Row],[moneda]]="Total en ARS",Tabla3_1[[#This Row],[moneda]]="pesos"),Tabla3_1[[#This Row],[Valor]]*VLOOKUP(Tabla3_1[[#This Row],[añpo]],ipc!$A:$D,4,FALSE),Tabla3_1[[#This Row],[Valor]])</f>
        <v/>
      </c>
    </row>
    <row r="329">
      <c r="A329" t="n">
        <v>2009</v>
      </c>
      <c r="B329" t="inlineStr">
        <is>
          <t>dólares</t>
        </is>
      </c>
      <c r="C329" t="inlineStr">
        <is>
          <t>Letras del Tesoro Ley 3395 art. 2</t>
        </is>
      </c>
      <c r="E329">
        <f>IF(OR(Tabla3_1[[#This Row],[moneda]]="Total en ARS",Tabla3_1[[#This Row],[moneda]]="pesos"),Tabla3_1[[#This Row],[Valor]]*VLOOKUP(Tabla3_1[[#This Row],[añpo]],ipc!$A:$D,4,FALSE),Tabla3_1[[#This Row],[Valor]])</f>
        <v/>
      </c>
    </row>
    <row r="330">
      <c r="A330" t="n">
        <v>2009</v>
      </c>
      <c r="B330" t="inlineStr">
        <is>
          <t>dólares</t>
        </is>
      </c>
      <c r="C330" t="inlineStr">
        <is>
          <t xml:space="preserve">Deuda financiera </t>
        </is>
      </c>
      <c r="E330">
        <f>IF(OR(Tabla3_1[[#This Row],[moneda]]="Total en ARS",Tabla3_1[[#This Row],[moneda]]="pesos"),Tabla3_1[[#This Row],[Valor]]*VLOOKUP(Tabla3_1[[#This Row],[añpo]],ipc!$A:$D,4,FALSE),Tabla3_1[[#This Row],[Valor]])</f>
        <v/>
      </c>
    </row>
    <row r="331">
      <c r="A331" t="n">
        <v>2009</v>
      </c>
      <c r="B331" t="inlineStr">
        <is>
          <t>dólares</t>
        </is>
      </c>
      <c r="C331" t="inlineStr">
        <is>
          <t>Organismos internacionales de crédito</t>
        </is>
      </c>
      <c r="D331" t="n">
        <v>169.1291</v>
      </c>
      <c r="E331">
        <f>IF(OR(Tabla3_1[[#This Row],[moneda]]="Total en ARS",Tabla3_1[[#This Row],[moneda]]="pesos"),Tabla3_1[[#This Row],[Valor]]*VLOOKUP(Tabla3_1[[#This Row],[añpo]],ipc!$A:$D,4,FALSE),Tabla3_1[[#This Row],[Valor]])</f>
        <v/>
      </c>
    </row>
    <row r="332">
      <c r="A332" t="n">
        <v>2009</v>
      </c>
      <c r="B332" t="inlineStr">
        <is>
          <t>dólares</t>
        </is>
      </c>
      <c r="C332" t="inlineStr">
        <is>
          <t>Garantías y/o avales</t>
        </is>
      </c>
      <c r="E332">
        <f>IF(OR(Tabla3_1[[#This Row],[moneda]]="Total en ARS",Tabla3_1[[#This Row],[moneda]]="pesos"),Tabla3_1[[#This Row],[Valor]]*VLOOKUP(Tabla3_1[[#This Row],[añpo]],ipc!$A:$D,4,FALSE),Tabla3_1[[#This Row],[Valor]])</f>
        <v/>
      </c>
    </row>
    <row r="333">
      <c r="A333" t="n">
        <v>2009</v>
      </c>
      <c r="B333" t="inlineStr">
        <is>
          <t>dólares</t>
        </is>
      </c>
      <c r="C333" t="inlineStr">
        <is>
          <t>Acuerdo OSPLAD</t>
        </is>
      </c>
      <c r="E333">
        <f>IF(OR(Tabla3_1[[#This Row],[moneda]]="Total en ARS",Tabla3_1[[#This Row],[moneda]]="pesos"),Tabla3_1[[#This Row],[Valor]]*VLOOKUP(Tabla3_1[[#This Row],[añpo]],ipc!$A:$D,4,FALSE),Tabla3_1[[#This Row],[Valor]])</f>
        <v/>
      </c>
    </row>
    <row r="334">
      <c r="A334" t="n">
        <v>2009</v>
      </c>
      <c r="B334" t="inlineStr">
        <is>
          <t>dólares</t>
        </is>
      </c>
      <c r="C334" t="inlineStr">
        <is>
          <t>Préstamo ANSES - Ley 5603</t>
        </is>
      </c>
      <c r="E334">
        <f>IF(OR(Tabla3_1[[#This Row],[moneda]]="Total en ARS",Tabla3_1[[#This Row],[moneda]]="pesos"),Tabla3_1[[#This Row],[Valor]]*VLOOKUP(Tabla3_1[[#This Row],[añpo]],ipc!$A:$D,4,FALSE),Tabla3_1[[#This Row],[Valor]])</f>
        <v/>
      </c>
    </row>
    <row r="335">
      <c r="A335" t="n">
        <v>2009</v>
      </c>
      <c r="B335" t="inlineStr">
        <is>
          <t xml:space="preserve">  euros</t>
        </is>
      </c>
      <c r="C335" t="inlineStr">
        <is>
          <t>Proveedores y Contratistas</t>
        </is>
      </c>
      <c r="D335" t="n">
        <v>24.3778</v>
      </c>
      <c r="E335">
        <f>IF(OR(Tabla3_1[[#This Row],[moneda]]="Total en ARS",Tabla3_1[[#This Row],[moneda]]="pesos"),Tabla3_1[[#This Row],[Valor]]*VLOOKUP(Tabla3_1[[#This Row],[añpo]],ipc!$A:$D,4,FALSE),Tabla3_1[[#This Row],[Valor]])</f>
        <v/>
      </c>
    </row>
    <row r="336">
      <c r="A336" t="n">
        <v>2009</v>
      </c>
      <c r="B336" t="inlineStr">
        <is>
          <t xml:space="preserve">  euros</t>
        </is>
      </c>
      <c r="C336" t="inlineStr">
        <is>
          <t>Deuda previsional</t>
        </is>
      </c>
      <c r="E336">
        <f>IF(OR(Tabla3_1[[#This Row],[moneda]]="Total en ARS",Tabla3_1[[#This Row],[moneda]]="pesos"),Tabla3_1[[#This Row],[Valor]]*VLOOKUP(Tabla3_1[[#This Row],[añpo]],ipc!$A:$D,4,FALSE),Tabla3_1[[#This Row],[Valor]])</f>
        <v/>
      </c>
    </row>
    <row r="337">
      <c r="A337" t="n">
        <v>2009</v>
      </c>
      <c r="B337" t="inlineStr">
        <is>
          <t xml:space="preserve">  euros</t>
        </is>
      </c>
      <c r="C337" t="inlineStr">
        <is>
          <t>Títulos públicos</t>
        </is>
      </c>
      <c r="E337">
        <f>IF(OR(Tabla3_1[[#This Row],[moneda]]="Total en ARS",Tabla3_1[[#This Row],[moneda]]="pesos"),Tabla3_1[[#This Row],[Valor]]*VLOOKUP(Tabla3_1[[#This Row],[añpo]],ipc!$A:$D,4,FALSE),Tabla3_1[[#This Row],[Valor]])</f>
        <v/>
      </c>
    </row>
    <row r="338">
      <c r="A338" t="n">
        <v>2009</v>
      </c>
      <c r="B338" t="inlineStr">
        <is>
          <t xml:space="preserve">  euros</t>
        </is>
      </c>
      <c r="C338" t="inlineStr">
        <is>
          <t>Letras del Tesoro Ley 3395 art. 2</t>
        </is>
      </c>
      <c r="E338">
        <f>IF(OR(Tabla3_1[[#This Row],[moneda]]="Total en ARS",Tabla3_1[[#This Row],[moneda]]="pesos"),Tabla3_1[[#This Row],[Valor]]*VLOOKUP(Tabla3_1[[#This Row],[añpo]],ipc!$A:$D,4,FALSE),Tabla3_1[[#This Row],[Valor]])</f>
        <v/>
      </c>
    </row>
    <row r="339">
      <c r="A339" t="n">
        <v>2009</v>
      </c>
      <c r="B339" t="inlineStr">
        <is>
          <t xml:space="preserve">  euros</t>
        </is>
      </c>
      <c r="C339" t="inlineStr">
        <is>
          <t xml:space="preserve">Deuda financiera </t>
        </is>
      </c>
      <c r="E339">
        <f>IF(OR(Tabla3_1[[#This Row],[moneda]]="Total en ARS",Tabla3_1[[#This Row],[moneda]]="pesos"),Tabla3_1[[#This Row],[Valor]]*VLOOKUP(Tabla3_1[[#This Row],[añpo]],ipc!$A:$D,4,FALSE),Tabla3_1[[#This Row],[Valor]])</f>
        <v/>
      </c>
    </row>
    <row r="340">
      <c r="A340" t="n">
        <v>2009</v>
      </c>
      <c r="B340" t="inlineStr">
        <is>
          <t xml:space="preserve">  euros</t>
        </is>
      </c>
      <c r="C340" t="inlineStr">
        <is>
          <t>Organismos internacionales de crédito</t>
        </is>
      </c>
      <c r="D340" t="n">
        <v>24.3778</v>
      </c>
      <c r="E340">
        <f>IF(OR(Tabla3_1[[#This Row],[moneda]]="Total en ARS",Tabla3_1[[#This Row],[moneda]]="pesos"),Tabla3_1[[#This Row],[Valor]]*VLOOKUP(Tabla3_1[[#This Row],[añpo]],ipc!$A:$D,4,FALSE),Tabla3_1[[#This Row],[Valor]])</f>
        <v/>
      </c>
    </row>
    <row r="341">
      <c r="A341" t="n">
        <v>2009</v>
      </c>
      <c r="B341" t="inlineStr">
        <is>
          <t xml:space="preserve">  euros</t>
        </is>
      </c>
      <c r="C341" t="inlineStr">
        <is>
          <t>Garantías y/o avales</t>
        </is>
      </c>
      <c r="E341">
        <f>IF(OR(Tabla3_1[[#This Row],[moneda]]="Total en ARS",Tabla3_1[[#This Row],[moneda]]="pesos"),Tabla3_1[[#This Row],[Valor]]*VLOOKUP(Tabla3_1[[#This Row],[añpo]],ipc!$A:$D,4,FALSE),Tabla3_1[[#This Row],[Valor]])</f>
        <v/>
      </c>
    </row>
    <row r="342">
      <c r="A342" t="n">
        <v>2009</v>
      </c>
      <c r="B342" t="inlineStr">
        <is>
          <t xml:space="preserve">  euros</t>
        </is>
      </c>
      <c r="C342" t="inlineStr">
        <is>
          <t>Acuerdo OSPLAD</t>
        </is>
      </c>
      <c r="E342">
        <f>IF(OR(Tabla3_1[[#This Row],[moneda]]="Total en ARS",Tabla3_1[[#This Row],[moneda]]="pesos"),Tabla3_1[[#This Row],[Valor]]*VLOOKUP(Tabla3_1[[#This Row],[añpo]],ipc!$A:$D,4,FALSE),Tabla3_1[[#This Row],[Valor]])</f>
        <v/>
      </c>
    </row>
    <row r="343">
      <c r="A343" t="n">
        <v>2009</v>
      </c>
      <c r="B343" t="inlineStr">
        <is>
          <t xml:space="preserve">  euros</t>
        </is>
      </c>
      <c r="C343" t="inlineStr">
        <is>
          <t>Préstamo ANSES - Ley 5603</t>
        </is>
      </c>
      <c r="E343">
        <f>IF(OR(Tabla3_1[[#This Row],[moneda]]="Total en ARS",Tabla3_1[[#This Row],[moneda]]="pesos"),Tabla3_1[[#This Row],[Valor]]*VLOOKUP(Tabla3_1[[#This Row],[añpo]],ipc!$A:$D,4,FALSE),Tabla3_1[[#This Row],[Valor]])</f>
        <v/>
      </c>
    </row>
    <row r="344">
      <c r="A344" t="n">
        <v>2010</v>
      </c>
      <c r="B344" t="inlineStr">
        <is>
          <t>Total en ARS</t>
        </is>
      </c>
      <c r="C344" t="inlineStr">
        <is>
          <t>Proveedores y Contratistas</t>
        </is>
      </c>
      <c r="D344" t="n">
        <v>6861.7634193256</v>
      </c>
      <c r="E344">
        <f>IF(OR(Tabla3_1[[#This Row],[moneda]]="Total en ARS",Tabla3_1[[#This Row],[moneda]]="pesos"),Tabla3_1[[#This Row],[Valor]]*VLOOKUP(Tabla3_1[[#This Row],[añpo]],ipc!$A:$D,4,FALSE),Tabla3_1[[#This Row],[Valor]])</f>
        <v/>
      </c>
    </row>
    <row r="345">
      <c r="A345" t="n">
        <v>2010</v>
      </c>
      <c r="B345" t="inlineStr">
        <is>
          <t>Total en ARS</t>
        </is>
      </c>
      <c r="C345" t="inlineStr">
        <is>
          <t>Deuda previsional</t>
        </is>
      </c>
      <c r="D345" t="n">
        <v>2349.6618</v>
      </c>
      <c r="E345">
        <f>IF(OR(Tabla3_1[[#This Row],[moneda]]="Total en ARS",Tabla3_1[[#This Row],[moneda]]="pesos"),Tabla3_1[[#This Row],[Valor]]*VLOOKUP(Tabla3_1[[#This Row],[añpo]],ipc!$A:$D,4,FALSE),Tabla3_1[[#This Row],[Valor]])</f>
        <v/>
      </c>
    </row>
    <row r="346">
      <c r="A346" t="n">
        <v>2010</v>
      </c>
      <c r="B346" t="inlineStr">
        <is>
          <t>Total en ARS</t>
        </is>
      </c>
      <c r="C346" t="inlineStr">
        <is>
          <t>Títulos públicos</t>
        </is>
      </c>
      <c r="D346" t="n">
        <v>32.7616</v>
      </c>
      <c r="E346">
        <f>IF(OR(Tabla3_1[[#This Row],[moneda]]="Total en ARS",Tabla3_1[[#This Row],[moneda]]="pesos"),Tabla3_1[[#This Row],[Valor]]*VLOOKUP(Tabla3_1[[#This Row],[añpo]],ipc!$A:$D,4,FALSE),Tabla3_1[[#This Row],[Valor]])</f>
        <v/>
      </c>
    </row>
    <row r="347">
      <c r="A347" t="n">
        <v>2010</v>
      </c>
      <c r="B347" t="inlineStr">
        <is>
          <t>Total en ARS</t>
        </is>
      </c>
      <c r="C347" t="inlineStr">
        <is>
          <t>Letras del Tesoro Ley 3395 art. 2</t>
        </is>
      </c>
      <c r="D347" t="n">
        <v>543.5121</v>
      </c>
      <c r="E347">
        <f>IF(OR(Tabla3_1[[#This Row],[moneda]]="Total en ARS",Tabla3_1[[#This Row],[moneda]]="pesos"),Tabla3_1[[#This Row],[Valor]]*VLOOKUP(Tabla3_1[[#This Row],[añpo]],ipc!$A:$D,4,FALSE),Tabla3_1[[#This Row],[Valor]])</f>
        <v/>
      </c>
    </row>
    <row r="348">
      <c r="A348" t="n">
        <v>2010</v>
      </c>
      <c r="B348" t="inlineStr">
        <is>
          <t>Total en ARS</t>
        </is>
      </c>
      <c r="C348" t="inlineStr">
        <is>
          <t xml:space="preserve">Deuda financiera </t>
        </is>
      </c>
      <c r="D348" t="n">
        <v>0.4507</v>
      </c>
      <c r="E348">
        <f>IF(OR(Tabla3_1[[#This Row],[moneda]]="Total en ARS",Tabla3_1[[#This Row],[moneda]]="pesos"),Tabla3_1[[#This Row],[Valor]]*VLOOKUP(Tabla3_1[[#This Row],[añpo]],ipc!$A:$D,4,FALSE),Tabla3_1[[#This Row],[Valor]])</f>
        <v/>
      </c>
    </row>
    <row r="349">
      <c r="A349" t="n">
        <v>2010</v>
      </c>
      <c r="B349" t="inlineStr">
        <is>
          <t>Total en ARS</t>
        </is>
      </c>
      <c r="C349" t="inlineStr">
        <is>
          <t>Organismos internacionales de crédito</t>
        </is>
      </c>
      <c r="D349" t="n">
        <v>911.2709193256001</v>
      </c>
      <c r="E349">
        <f>IF(OR(Tabla3_1[[#This Row],[moneda]]="Total en ARS",Tabla3_1[[#This Row],[moneda]]="pesos"),Tabla3_1[[#This Row],[Valor]]*VLOOKUP(Tabla3_1[[#This Row],[añpo]],ipc!$A:$D,4,FALSE),Tabla3_1[[#This Row],[Valor]])</f>
        <v/>
      </c>
    </row>
    <row r="350">
      <c r="A350" t="n">
        <v>2010</v>
      </c>
      <c r="B350" t="inlineStr">
        <is>
          <t>Total en ARS</t>
        </is>
      </c>
      <c r="C350" t="inlineStr">
        <is>
          <t>Garantías y/o avales</t>
        </is>
      </c>
      <c r="E350">
        <f>IF(OR(Tabla3_1[[#This Row],[moneda]]="Total en ARS",Tabla3_1[[#This Row],[moneda]]="pesos"),Tabla3_1[[#This Row],[Valor]]*VLOOKUP(Tabla3_1[[#This Row],[añpo]],ipc!$A:$D,4,FALSE),Tabla3_1[[#This Row],[Valor]])</f>
        <v/>
      </c>
    </row>
    <row r="351">
      <c r="A351" t="n">
        <v>2010</v>
      </c>
      <c r="B351" t="inlineStr">
        <is>
          <t>Total en ARS</t>
        </is>
      </c>
      <c r="C351" t="inlineStr">
        <is>
          <t>Acuerdo OSPLAD</t>
        </is>
      </c>
      <c r="E351">
        <f>IF(OR(Tabla3_1[[#This Row],[moneda]]="Total en ARS",Tabla3_1[[#This Row],[moneda]]="pesos"),Tabla3_1[[#This Row],[Valor]]*VLOOKUP(Tabla3_1[[#This Row],[añpo]],ipc!$A:$D,4,FALSE),Tabla3_1[[#This Row],[Valor]])</f>
        <v/>
      </c>
    </row>
    <row r="352">
      <c r="A352" t="n">
        <v>2010</v>
      </c>
      <c r="B352" t="inlineStr">
        <is>
          <t>Total en ARS</t>
        </is>
      </c>
      <c r="C352" t="inlineStr">
        <is>
          <t>Préstamo ANSES - Ley 5603</t>
        </is>
      </c>
      <c r="E352">
        <f>IF(OR(Tabla3_1[[#This Row],[moneda]]="Total en ARS",Tabla3_1[[#This Row],[moneda]]="pesos"),Tabla3_1[[#This Row],[Valor]]*VLOOKUP(Tabla3_1[[#This Row],[añpo]],ipc!$A:$D,4,FALSE),Tabla3_1[[#This Row],[Valor]])</f>
        <v/>
      </c>
    </row>
    <row r="353">
      <c r="A353" t="n">
        <v>2010</v>
      </c>
      <c r="B353" t="inlineStr">
        <is>
          <t>pesos</t>
        </is>
      </c>
      <c r="C353" t="inlineStr">
        <is>
          <t>Proveedores y Contratistas</t>
        </is>
      </c>
      <c r="D353" t="n">
        <v>3466.9338</v>
      </c>
      <c r="E353">
        <f>IF(OR(Tabla3_1[[#This Row],[moneda]]="Total en ARS",Tabla3_1[[#This Row],[moneda]]="pesos"),Tabla3_1[[#This Row],[Valor]]*VLOOKUP(Tabla3_1[[#This Row],[añpo]],ipc!$A:$D,4,FALSE),Tabla3_1[[#This Row],[Valor]])</f>
        <v/>
      </c>
    </row>
    <row r="354">
      <c r="A354" t="n">
        <v>2010</v>
      </c>
      <c r="B354" t="inlineStr">
        <is>
          <t>pesos</t>
        </is>
      </c>
      <c r="C354" t="inlineStr">
        <is>
          <t>Deuda previsional</t>
        </is>
      </c>
      <c r="D354" t="n">
        <v>2349.6618</v>
      </c>
      <c r="E354">
        <f>IF(OR(Tabla3_1[[#This Row],[moneda]]="Total en ARS",Tabla3_1[[#This Row],[moneda]]="pesos"),Tabla3_1[[#This Row],[Valor]]*VLOOKUP(Tabla3_1[[#This Row],[añpo]],ipc!$A:$D,4,FALSE),Tabla3_1[[#This Row],[Valor]])</f>
        <v/>
      </c>
    </row>
    <row r="355">
      <c r="A355" t="n">
        <v>2010</v>
      </c>
      <c r="B355" t="inlineStr">
        <is>
          <t>pesos</t>
        </is>
      </c>
      <c r="C355" t="inlineStr">
        <is>
          <t>Títulos públicos</t>
        </is>
      </c>
      <c r="D355" t="n">
        <v>32.7616</v>
      </c>
      <c r="E355">
        <f>IF(OR(Tabla3_1[[#This Row],[moneda]]="Total en ARS",Tabla3_1[[#This Row],[moneda]]="pesos"),Tabla3_1[[#This Row],[Valor]]*VLOOKUP(Tabla3_1[[#This Row],[añpo]],ipc!$A:$D,4,FALSE),Tabla3_1[[#This Row],[Valor]])</f>
        <v/>
      </c>
    </row>
    <row r="356">
      <c r="A356" t="n">
        <v>2010</v>
      </c>
      <c r="B356" t="inlineStr">
        <is>
          <t>pesos</t>
        </is>
      </c>
      <c r="C356" t="inlineStr">
        <is>
          <t>Letras del Tesoro Ley 3395 art. 2</t>
        </is>
      </c>
      <c r="D356" t="n">
        <v>543.5121</v>
      </c>
      <c r="E356">
        <f>IF(OR(Tabla3_1[[#This Row],[moneda]]="Total en ARS",Tabla3_1[[#This Row],[moneda]]="pesos"),Tabla3_1[[#This Row],[Valor]]*VLOOKUP(Tabla3_1[[#This Row],[añpo]],ipc!$A:$D,4,FALSE),Tabla3_1[[#This Row],[Valor]])</f>
        <v/>
      </c>
    </row>
    <row r="357">
      <c r="A357" t="n">
        <v>2010</v>
      </c>
      <c r="B357" t="inlineStr">
        <is>
          <t>pesos</t>
        </is>
      </c>
      <c r="C357" t="inlineStr">
        <is>
          <t xml:space="preserve">Deuda financiera </t>
        </is>
      </c>
      <c r="D357" t="n">
        <v>0.4507</v>
      </c>
      <c r="E357">
        <f>IF(OR(Tabla3_1[[#This Row],[moneda]]="Total en ARS",Tabla3_1[[#This Row],[moneda]]="pesos"),Tabla3_1[[#This Row],[Valor]]*VLOOKUP(Tabla3_1[[#This Row],[añpo]],ipc!$A:$D,4,FALSE),Tabla3_1[[#This Row],[Valor]])</f>
        <v/>
      </c>
    </row>
    <row r="358">
      <c r="A358" t="n">
        <v>2010</v>
      </c>
      <c r="B358" t="inlineStr">
        <is>
          <t>pesos</t>
        </is>
      </c>
      <c r="C358" t="inlineStr">
        <is>
          <t>Organismos internacionales de crédito</t>
        </is>
      </c>
      <c r="E358">
        <f>IF(OR(Tabla3_1[[#This Row],[moneda]]="Total en ARS",Tabla3_1[[#This Row],[moneda]]="pesos"),Tabla3_1[[#This Row],[Valor]]*VLOOKUP(Tabla3_1[[#This Row],[añpo]],ipc!$A:$D,4,FALSE),Tabla3_1[[#This Row],[Valor]])</f>
        <v/>
      </c>
    </row>
    <row r="359">
      <c r="A359" t="n">
        <v>2010</v>
      </c>
      <c r="B359" t="inlineStr">
        <is>
          <t>pesos</t>
        </is>
      </c>
      <c r="C359" t="inlineStr">
        <is>
          <t>Garantías y/o avales</t>
        </is>
      </c>
      <c r="E359">
        <f>IF(OR(Tabla3_1[[#This Row],[moneda]]="Total en ARS",Tabla3_1[[#This Row],[moneda]]="pesos"),Tabla3_1[[#This Row],[Valor]]*VLOOKUP(Tabla3_1[[#This Row],[añpo]],ipc!$A:$D,4,FALSE),Tabla3_1[[#This Row],[Valor]])</f>
        <v/>
      </c>
    </row>
    <row r="360">
      <c r="A360" t="n">
        <v>2010</v>
      </c>
      <c r="B360" t="inlineStr">
        <is>
          <t>pesos</t>
        </is>
      </c>
      <c r="C360" t="inlineStr">
        <is>
          <t>Acuerdo OSPLAD</t>
        </is>
      </c>
      <c r="E360">
        <f>IF(OR(Tabla3_1[[#This Row],[moneda]]="Total en ARS",Tabla3_1[[#This Row],[moneda]]="pesos"),Tabla3_1[[#This Row],[Valor]]*VLOOKUP(Tabla3_1[[#This Row],[añpo]],ipc!$A:$D,4,FALSE),Tabla3_1[[#This Row],[Valor]])</f>
        <v/>
      </c>
    </row>
    <row r="361">
      <c r="A361" t="n">
        <v>2010</v>
      </c>
      <c r="B361" t="inlineStr">
        <is>
          <t>pesos</t>
        </is>
      </c>
      <c r="C361" t="inlineStr">
        <is>
          <t>Préstamo ANSES - Ley 5603</t>
        </is>
      </c>
      <c r="E361">
        <f>IF(OR(Tabla3_1[[#This Row],[moneda]]="Total en ARS",Tabla3_1[[#This Row],[moneda]]="pesos"),Tabla3_1[[#This Row],[Valor]]*VLOOKUP(Tabla3_1[[#This Row],[añpo]],ipc!$A:$D,4,FALSE),Tabla3_1[[#This Row],[Valor]])</f>
        <v/>
      </c>
    </row>
    <row r="362">
      <c r="A362" t="n">
        <v>2010</v>
      </c>
      <c r="B362" t="inlineStr">
        <is>
          <t>dólares</t>
        </is>
      </c>
      <c r="C362" t="inlineStr">
        <is>
          <t>Proveedores y Contratistas</t>
        </is>
      </c>
      <c r="D362" t="n">
        <v>775.2832000000001</v>
      </c>
      <c r="E362">
        <f>IF(OR(Tabla3_1[[#This Row],[moneda]]="Total en ARS",Tabla3_1[[#This Row],[moneda]]="pesos"),Tabla3_1[[#This Row],[Valor]]*VLOOKUP(Tabla3_1[[#This Row],[añpo]],ipc!$A:$D,4,FALSE),Tabla3_1[[#This Row],[Valor]])</f>
        <v/>
      </c>
    </row>
    <row r="363">
      <c r="A363" t="n">
        <v>2010</v>
      </c>
      <c r="B363" t="inlineStr">
        <is>
          <t>dólares</t>
        </is>
      </c>
      <c r="C363" t="inlineStr">
        <is>
          <t>Deuda previsional</t>
        </is>
      </c>
      <c r="E363">
        <f>IF(OR(Tabla3_1[[#This Row],[moneda]]="Total en ARS",Tabla3_1[[#This Row],[moneda]]="pesos"),Tabla3_1[[#This Row],[Valor]]*VLOOKUP(Tabla3_1[[#This Row],[añpo]],ipc!$A:$D,4,FALSE),Tabla3_1[[#This Row],[Valor]])</f>
        <v/>
      </c>
    </row>
    <row r="364">
      <c r="A364" t="n">
        <v>2010</v>
      </c>
      <c r="B364" t="inlineStr">
        <is>
          <t>dólares</t>
        </is>
      </c>
      <c r="C364" t="inlineStr">
        <is>
          <t>Títulos públicos</t>
        </is>
      </c>
      <c r="E364">
        <f>IF(OR(Tabla3_1[[#This Row],[moneda]]="Total en ARS",Tabla3_1[[#This Row],[moneda]]="pesos"),Tabla3_1[[#This Row],[Valor]]*VLOOKUP(Tabla3_1[[#This Row],[añpo]],ipc!$A:$D,4,FALSE),Tabla3_1[[#This Row],[Valor]])</f>
        <v/>
      </c>
    </row>
    <row r="365">
      <c r="A365" t="n">
        <v>2010</v>
      </c>
      <c r="B365" t="inlineStr">
        <is>
          <t>dólares</t>
        </is>
      </c>
      <c r="C365" t="inlineStr">
        <is>
          <t>Letras del Tesoro Ley 3395 art. 2</t>
        </is>
      </c>
      <c r="E365">
        <f>IF(OR(Tabla3_1[[#This Row],[moneda]]="Total en ARS",Tabla3_1[[#This Row],[moneda]]="pesos"),Tabla3_1[[#This Row],[Valor]]*VLOOKUP(Tabla3_1[[#This Row],[añpo]],ipc!$A:$D,4,FALSE),Tabla3_1[[#This Row],[Valor]])</f>
        <v/>
      </c>
    </row>
    <row r="366">
      <c r="A366" t="n">
        <v>2010</v>
      </c>
      <c r="B366" t="inlineStr">
        <is>
          <t>dólares</t>
        </is>
      </c>
      <c r="C366" t="inlineStr">
        <is>
          <t xml:space="preserve">Deuda financiera </t>
        </is>
      </c>
      <c r="E366">
        <f>IF(OR(Tabla3_1[[#This Row],[moneda]]="Total en ARS",Tabla3_1[[#This Row],[moneda]]="pesos"),Tabla3_1[[#This Row],[Valor]]*VLOOKUP(Tabla3_1[[#This Row],[añpo]],ipc!$A:$D,4,FALSE),Tabla3_1[[#This Row],[Valor]])</f>
        <v/>
      </c>
    </row>
    <row r="367">
      <c r="A367" t="n">
        <v>2010</v>
      </c>
      <c r="B367" t="inlineStr">
        <is>
          <t>dólares</t>
        </is>
      </c>
      <c r="C367" t="inlineStr">
        <is>
          <t>Organismos internacionales de crédito</t>
        </is>
      </c>
      <c r="D367" t="n">
        <v>150.6457</v>
      </c>
      <c r="E367">
        <f>IF(OR(Tabla3_1[[#This Row],[moneda]]="Total en ARS",Tabla3_1[[#This Row],[moneda]]="pesos"),Tabla3_1[[#This Row],[Valor]]*VLOOKUP(Tabla3_1[[#This Row],[añpo]],ipc!$A:$D,4,FALSE),Tabla3_1[[#This Row],[Valor]])</f>
        <v/>
      </c>
    </row>
    <row r="368">
      <c r="A368" t="n">
        <v>2010</v>
      </c>
      <c r="B368" t="inlineStr">
        <is>
          <t>dólares</t>
        </is>
      </c>
      <c r="C368" t="inlineStr">
        <is>
          <t>Garantías y/o avales</t>
        </is>
      </c>
      <c r="E368">
        <f>IF(OR(Tabla3_1[[#This Row],[moneda]]="Total en ARS",Tabla3_1[[#This Row],[moneda]]="pesos"),Tabla3_1[[#This Row],[Valor]]*VLOOKUP(Tabla3_1[[#This Row],[añpo]],ipc!$A:$D,4,FALSE),Tabla3_1[[#This Row],[Valor]])</f>
        <v/>
      </c>
    </row>
    <row r="369">
      <c r="A369" t="n">
        <v>2010</v>
      </c>
      <c r="B369" t="inlineStr">
        <is>
          <t>dólares</t>
        </is>
      </c>
      <c r="C369" t="inlineStr">
        <is>
          <t>Acuerdo OSPLAD</t>
        </is>
      </c>
      <c r="E369">
        <f>IF(OR(Tabla3_1[[#This Row],[moneda]]="Total en ARS",Tabla3_1[[#This Row],[moneda]]="pesos"),Tabla3_1[[#This Row],[Valor]]*VLOOKUP(Tabla3_1[[#This Row],[añpo]],ipc!$A:$D,4,FALSE),Tabla3_1[[#This Row],[Valor]])</f>
        <v/>
      </c>
    </row>
    <row r="370">
      <c r="A370" t="n">
        <v>2010</v>
      </c>
      <c r="B370" t="inlineStr">
        <is>
          <t>dólares</t>
        </is>
      </c>
      <c r="C370" t="inlineStr">
        <is>
          <t>Préstamo ANSES - Ley 5603</t>
        </is>
      </c>
      <c r="E370">
        <f>IF(OR(Tabla3_1[[#This Row],[moneda]]="Total en ARS",Tabla3_1[[#This Row],[moneda]]="pesos"),Tabla3_1[[#This Row],[Valor]]*VLOOKUP(Tabla3_1[[#This Row],[añpo]],ipc!$A:$D,4,FALSE),Tabla3_1[[#This Row],[Valor]])</f>
        <v/>
      </c>
    </row>
    <row r="371">
      <c r="A371" t="n">
        <v>2010</v>
      </c>
      <c r="B371" t="inlineStr">
        <is>
          <t xml:space="preserve">  euros</t>
        </is>
      </c>
      <c r="C371" t="inlineStr">
        <is>
          <t>Proveedores y Contratistas</t>
        </is>
      </c>
      <c r="D371" t="n">
        <v>58.7884</v>
      </c>
      <c r="E371">
        <f>IF(OR(Tabla3_1[[#This Row],[moneda]]="Total en ARS",Tabla3_1[[#This Row],[moneda]]="pesos"),Tabla3_1[[#This Row],[Valor]]*VLOOKUP(Tabla3_1[[#This Row],[añpo]],ipc!$A:$D,4,FALSE),Tabla3_1[[#This Row],[Valor]])</f>
        <v/>
      </c>
    </row>
    <row r="372">
      <c r="A372" t="n">
        <v>2010</v>
      </c>
      <c r="B372" t="inlineStr">
        <is>
          <t xml:space="preserve">  euros</t>
        </is>
      </c>
      <c r="C372" t="inlineStr">
        <is>
          <t>Deuda previsional</t>
        </is>
      </c>
      <c r="E372">
        <f>IF(OR(Tabla3_1[[#This Row],[moneda]]="Total en ARS",Tabla3_1[[#This Row],[moneda]]="pesos"),Tabla3_1[[#This Row],[Valor]]*VLOOKUP(Tabla3_1[[#This Row],[añpo]],ipc!$A:$D,4,FALSE),Tabla3_1[[#This Row],[Valor]])</f>
        <v/>
      </c>
    </row>
    <row r="373">
      <c r="A373" t="n">
        <v>2010</v>
      </c>
      <c r="B373" t="inlineStr">
        <is>
          <t xml:space="preserve">  euros</t>
        </is>
      </c>
      <c r="C373" t="inlineStr">
        <is>
          <t>Títulos públicos</t>
        </is>
      </c>
      <c r="E373">
        <f>IF(OR(Tabla3_1[[#This Row],[moneda]]="Total en ARS",Tabla3_1[[#This Row],[moneda]]="pesos"),Tabla3_1[[#This Row],[Valor]]*VLOOKUP(Tabla3_1[[#This Row],[añpo]],ipc!$A:$D,4,FALSE),Tabla3_1[[#This Row],[Valor]])</f>
        <v/>
      </c>
    </row>
    <row r="374">
      <c r="A374" t="n">
        <v>2010</v>
      </c>
      <c r="B374" t="inlineStr">
        <is>
          <t xml:space="preserve">  euros</t>
        </is>
      </c>
      <c r="C374" t="inlineStr">
        <is>
          <t>Letras del Tesoro Ley 3395 art. 2</t>
        </is>
      </c>
      <c r="E374">
        <f>IF(OR(Tabla3_1[[#This Row],[moneda]]="Total en ARS",Tabla3_1[[#This Row],[moneda]]="pesos"),Tabla3_1[[#This Row],[Valor]]*VLOOKUP(Tabla3_1[[#This Row],[añpo]],ipc!$A:$D,4,FALSE),Tabla3_1[[#This Row],[Valor]])</f>
        <v/>
      </c>
    </row>
    <row r="375">
      <c r="A375" t="n">
        <v>2010</v>
      </c>
      <c r="B375" t="inlineStr">
        <is>
          <t xml:space="preserve">  euros</t>
        </is>
      </c>
      <c r="C375" t="inlineStr">
        <is>
          <t xml:space="preserve">Deuda financiera </t>
        </is>
      </c>
      <c r="E375">
        <f>IF(OR(Tabla3_1[[#This Row],[moneda]]="Total en ARS",Tabla3_1[[#This Row],[moneda]]="pesos"),Tabla3_1[[#This Row],[Valor]]*VLOOKUP(Tabla3_1[[#This Row],[añpo]],ipc!$A:$D,4,FALSE),Tabla3_1[[#This Row],[Valor]])</f>
        <v/>
      </c>
    </row>
    <row r="376">
      <c r="A376" t="n">
        <v>2010</v>
      </c>
      <c r="B376" t="inlineStr">
        <is>
          <t xml:space="preserve">  euros</t>
        </is>
      </c>
      <c r="C376" t="inlineStr">
        <is>
          <t>Organismos internacionales de crédito</t>
        </is>
      </c>
      <c r="D376" t="n">
        <v>58.7884</v>
      </c>
      <c r="E376">
        <f>IF(OR(Tabla3_1[[#This Row],[moneda]]="Total en ARS",Tabla3_1[[#This Row],[moneda]]="pesos"),Tabla3_1[[#This Row],[Valor]]*VLOOKUP(Tabla3_1[[#This Row],[añpo]],ipc!$A:$D,4,FALSE),Tabla3_1[[#This Row],[Valor]])</f>
        <v/>
      </c>
    </row>
    <row r="377">
      <c r="A377" t="n">
        <v>2010</v>
      </c>
      <c r="B377" t="inlineStr">
        <is>
          <t xml:space="preserve">  euros</t>
        </is>
      </c>
      <c r="C377" t="inlineStr">
        <is>
          <t>Garantías y/o avales</t>
        </is>
      </c>
      <c r="E377">
        <f>IF(OR(Tabla3_1[[#This Row],[moneda]]="Total en ARS",Tabla3_1[[#This Row],[moneda]]="pesos"),Tabla3_1[[#This Row],[Valor]]*VLOOKUP(Tabla3_1[[#This Row],[añpo]],ipc!$A:$D,4,FALSE),Tabla3_1[[#This Row],[Valor]])</f>
        <v/>
      </c>
    </row>
    <row r="378">
      <c r="A378" t="n">
        <v>2010</v>
      </c>
      <c r="B378" t="inlineStr">
        <is>
          <t xml:space="preserve">  euros</t>
        </is>
      </c>
      <c r="C378" t="inlineStr">
        <is>
          <t>Acuerdo OSPLAD</t>
        </is>
      </c>
      <c r="E378">
        <f>IF(OR(Tabla3_1[[#This Row],[moneda]]="Total en ARS",Tabla3_1[[#This Row],[moneda]]="pesos"),Tabla3_1[[#This Row],[Valor]]*VLOOKUP(Tabla3_1[[#This Row],[añpo]],ipc!$A:$D,4,FALSE),Tabla3_1[[#This Row],[Valor]])</f>
        <v/>
      </c>
    </row>
    <row r="379">
      <c r="A379" t="n">
        <v>2010</v>
      </c>
      <c r="B379" t="inlineStr">
        <is>
          <t xml:space="preserve">  euros</t>
        </is>
      </c>
      <c r="C379" t="inlineStr">
        <is>
          <t>Préstamo ANSES - Ley 5603</t>
        </is>
      </c>
      <c r="E379">
        <f>IF(OR(Tabla3_1[[#This Row],[moneda]]="Total en ARS",Tabla3_1[[#This Row],[moneda]]="pesos"),Tabla3_1[[#This Row],[Valor]]*VLOOKUP(Tabla3_1[[#This Row],[añpo]],ipc!$A:$D,4,FALSE),Tabla3_1[[#This Row],[Valor]])</f>
        <v/>
      </c>
    </row>
    <row r="380">
      <c r="A380" t="n">
        <v>2011</v>
      </c>
      <c r="B380" t="inlineStr">
        <is>
          <t>Total en ARS</t>
        </is>
      </c>
      <c r="C380" t="inlineStr">
        <is>
          <t>Proveedores y Contratistas</t>
        </is>
      </c>
      <c r="D380" t="n">
        <v>6573.0954722058</v>
      </c>
      <c r="E380">
        <f>IF(OR(Tabla3_1[[#This Row],[moneda]]="Total en ARS",Tabla3_1[[#This Row],[moneda]]="pesos"),Tabla3_1[[#This Row],[Valor]]*VLOOKUP(Tabla3_1[[#This Row],[añpo]],ipc!$A:$D,4,FALSE),Tabla3_1[[#This Row],[Valor]])</f>
        <v/>
      </c>
    </row>
    <row r="381">
      <c r="A381" t="n">
        <v>2011</v>
      </c>
      <c r="B381" t="inlineStr">
        <is>
          <t>Total en ARS</t>
        </is>
      </c>
      <c r="C381" t="inlineStr">
        <is>
          <t>Deuda previsional</t>
        </is>
      </c>
      <c r="D381" t="n">
        <v>2464.0964879</v>
      </c>
      <c r="E381">
        <f>IF(OR(Tabla3_1[[#This Row],[moneda]]="Total en ARS",Tabla3_1[[#This Row],[moneda]]="pesos"),Tabla3_1[[#This Row],[Valor]]*VLOOKUP(Tabla3_1[[#This Row],[añpo]],ipc!$A:$D,4,FALSE),Tabla3_1[[#This Row],[Valor]])</f>
        <v/>
      </c>
    </row>
    <row r="382">
      <c r="A382" t="n">
        <v>2011</v>
      </c>
      <c r="B382" t="inlineStr">
        <is>
          <t>Total en ARS</t>
        </is>
      </c>
      <c r="C382" t="inlineStr">
        <is>
          <t>Títulos públicos</t>
        </is>
      </c>
      <c r="D382" t="n">
        <v>32.6701</v>
      </c>
      <c r="E382">
        <f>IF(OR(Tabla3_1[[#This Row],[moneda]]="Total en ARS",Tabla3_1[[#This Row],[moneda]]="pesos"),Tabla3_1[[#This Row],[Valor]]*VLOOKUP(Tabla3_1[[#This Row],[añpo]],ipc!$A:$D,4,FALSE),Tabla3_1[[#This Row],[Valor]])</f>
        <v/>
      </c>
    </row>
    <row r="383">
      <c r="A383" t="n">
        <v>2011</v>
      </c>
      <c r="B383" t="inlineStr">
        <is>
          <t>Total en ARS</t>
        </is>
      </c>
      <c r="C383" t="inlineStr">
        <is>
          <t>Letras del Tesoro Ley 3395 art. 2</t>
        </is>
      </c>
      <c r="D383" t="n">
        <v>381.1476</v>
      </c>
      <c r="E383">
        <f>IF(OR(Tabla3_1[[#This Row],[moneda]]="Total en ARS",Tabla3_1[[#This Row],[moneda]]="pesos"),Tabla3_1[[#This Row],[Valor]]*VLOOKUP(Tabla3_1[[#This Row],[añpo]],ipc!$A:$D,4,FALSE),Tabla3_1[[#This Row],[Valor]])</f>
        <v/>
      </c>
    </row>
    <row r="384">
      <c r="A384" t="n">
        <v>2011</v>
      </c>
      <c r="B384" t="inlineStr">
        <is>
          <t>Total en ARS</t>
        </is>
      </c>
      <c r="C384" t="inlineStr">
        <is>
          <t xml:space="preserve">Deuda financiera </t>
        </is>
      </c>
      <c r="E384">
        <f>IF(OR(Tabla3_1[[#This Row],[moneda]]="Total en ARS",Tabla3_1[[#This Row],[moneda]]="pesos"),Tabla3_1[[#This Row],[Valor]]*VLOOKUP(Tabla3_1[[#This Row],[añpo]],ipc!$A:$D,4,FALSE),Tabla3_1[[#This Row],[Valor]])</f>
        <v/>
      </c>
    </row>
    <row r="385">
      <c r="A385" t="n">
        <v>2011</v>
      </c>
      <c r="B385" t="inlineStr">
        <is>
          <t>Total en ARS</t>
        </is>
      </c>
      <c r="C385" t="inlineStr">
        <is>
          <t>Organismos internacionales de crédito</t>
        </is>
      </c>
      <c r="D385" t="n">
        <v>1049.2645259058</v>
      </c>
      <c r="E385">
        <f>IF(OR(Tabla3_1[[#This Row],[moneda]]="Total en ARS",Tabla3_1[[#This Row],[moneda]]="pesos"),Tabla3_1[[#This Row],[Valor]]*VLOOKUP(Tabla3_1[[#This Row],[añpo]],ipc!$A:$D,4,FALSE),Tabla3_1[[#This Row],[Valor]])</f>
        <v/>
      </c>
    </row>
    <row r="386">
      <c r="A386" t="n">
        <v>2011</v>
      </c>
      <c r="B386" t="inlineStr">
        <is>
          <t>Total en ARS</t>
        </is>
      </c>
      <c r="C386" t="inlineStr">
        <is>
          <t>Garantías y/o avales</t>
        </is>
      </c>
      <c r="E386">
        <f>IF(OR(Tabla3_1[[#This Row],[moneda]]="Total en ARS",Tabla3_1[[#This Row],[moneda]]="pesos"),Tabla3_1[[#This Row],[Valor]]*VLOOKUP(Tabla3_1[[#This Row],[añpo]],ipc!$A:$D,4,FALSE),Tabla3_1[[#This Row],[Valor]])</f>
        <v/>
      </c>
    </row>
    <row r="387">
      <c r="A387" t="n">
        <v>2011</v>
      </c>
      <c r="B387" t="inlineStr">
        <is>
          <t>Total en ARS</t>
        </is>
      </c>
      <c r="C387" t="inlineStr">
        <is>
          <t>Acuerdo OSPLAD</t>
        </is>
      </c>
      <c r="E387">
        <f>IF(OR(Tabla3_1[[#This Row],[moneda]]="Total en ARS",Tabla3_1[[#This Row],[moneda]]="pesos"),Tabla3_1[[#This Row],[Valor]]*VLOOKUP(Tabla3_1[[#This Row],[añpo]],ipc!$A:$D,4,FALSE),Tabla3_1[[#This Row],[Valor]])</f>
        <v/>
      </c>
    </row>
    <row r="388">
      <c r="A388" t="n">
        <v>2011</v>
      </c>
      <c r="B388" t="inlineStr">
        <is>
          <t>Total en ARS</t>
        </is>
      </c>
      <c r="C388" t="inlineStr">
        <is>
          <t>Préstamo ANSES - Ley 5603</t>
        </is>
      </c>
      <c r="E388">
        <f>IF(OR(Tabla3_1[[#This Row],[moneda]]="Total en ARS",Tabla3_1[[#This Row],[moneda]]="pesos"),Tabla3_1[[#This Row],[Valor]]*VLOOKUP(Tabla3_1[[#This Row],[añpo]],ipc!$A:$D,4,FALSE),Tabla3_1[[#This Row],[Valor]])</f>
        <v/>
      </c>
    </row>
    <row r="389">
      <c r="A389" t="n">
        <v>2011</v>
      </c>
      <c r="B389" t="inlineStr">
        <is>
          <t>pesos</t>
        </is>
      </c>
      <c r="C389" t="inlineStr">
        <is>
          <t>Proveedores y Contratistas</t>
        </is>
      </c>
      <c r="D389" t="n">
        <v>2874.3102</v>
      </c>
      <c r="E389">
        <f>IF(OR(Tabla3_1[[#This Row],[moneda]]="Total en ARS",Tabla3_1[[#This Row],[moneda]]="pesos"),Tabla3_1[[#This Row],[Valor]]*VLOOKUP(Tabla3_1[[#This Row],[añpo]],ipc!$A:$D,4,FALSE),Tabla3_1[[#This Row],[Valor]])</f>
        <v/>
      </c>
    </row>
    <row r="390">
      <c r="A390" t="n">
        <v>2011</v>
      </c>
      <c r="B390" t="inlineStr">
        <is>
          <t>pesos</t>
        </is>
      </c>
      <c r="C390" t="inlineStr">
        <is>
          <t>Deuda previsional</t>
        </is>
      </c>
      <c r="D390" t="n">
        <v>2457.9494</v>
      </c>
      <c r="E390">
        <f>IF(OR(Tabla3_1[[#This Row],[moneda]]="Total en ARS",Tabla3_1[[#This Row],[moneda]]="pesos"),Tabla3_1[[#This Row],[Valor]]*VLOOKUP(Tabla3_1[[#This Row],[añpo]],ipc!$A:$D,4,FALSE),Tabla3_1[[#This Row],[Valor]])</f>
        <v/>
      </c>
    </row>
    <row r="391">
      <c r="A391" t="n">
        <v>2011</v>
      </c>
      <c r="B391" t="inlineStr">
        <is>
          <t>pesos</t>
        </is>
      </c>
      <c r="C391" t="inlineStr">
        <is>
          <t>Títulos públicos</t>
        </is>
      </c>
      <c r="D391" t="n">
        <v>32.6701</v>
      </c>
      <c r="E391">
        <f>IF(OR(Tabla3_1[[#This Row],[moneda]]="Total en ARS",Tabla3_1[[#This Row],[moneda]]="pesos"),Tabla3_1[[#This Row],[Valor]]*VLOOKUP(Tabla3_1[[#This Row],[añpo]],ipc!$A:$D,4,FALSE),Tabla3_1[[#This Row],[Valor]])</f>
        <v/>
      </c>
    </row>
    <row r="392">
      <c r="A392" t="n">
        <v>2011</v>
      </c>
      <c r="B392" t="inlineStr">
        <is>
          <t>pesos</t>
        </is>
      </c>
      <c r="C392" t="inlineStr">
        <is>
          <t>Letras del Tesoro Ley 3395 art. 2</t>
        </is>
      </c>
      <c r="D392" t="n">
        <v>381.1476</v>
      </c>
      <c r="E392">
        <f>IF(OR(Tabla3_1[[#This Row],[moneda]]="Total en ARS",Tabla3_1[[#This Row],[moneda]]="pesos"),Tabla3_1[[#This Row],[Valor]]*VLOOKUP(Tabla3_1[[#This Row],[añpo]],ipc!$A:$D,4,FALSE),Tabla3_1[[#This Row],[Valor]])</f>
        <v/>
      </c>
    </row>
    <row r="393">
      <c r="A393" t="n">
        <v>2011</v>
      </c>
      <c r="B393" t="inlineStr">
        <is>
          <t>pesos</t>
        </is>
      </c>
      <c r="C393" t="inlineStr">
        <is>
          <t xml:space="preserve">Deuda financiera </t>
        </is>
      </c>
      <c r="E393">
        <f>IF(OR(Tabla3_1[[#This Row],[moneda]]="Total en ARS",Tabla3_1[[#This Row],[moneda]]="pesos"),Tabla3_1[[#This Row],[Valor]]*VLOOKUP(Tabla3_1[[#This Row],[añpo]],ipc!$A:$D,4,FALSE),Tabla3_1[[#This Row],[Valor]])</f>
        <v/>
      </c>
    </row>
    <row r="394">
      <c r="A394" t="n">
        <v>2011</v>
      </c>
      <c r="B394" t="inlineStr">
        <is>
          <t>pesos</t>
        </is>
      </c>
      <c r="C394" t="inlineStr">
        <is>
          <t>Organismos internacionales de crédito</t>
        </is>
      </c>
      <c r="E394">
        <f>IF(OR(Tabla3_1[[#This Row],[moneda]]="Total en ARS",Tabla3_1[[#This Row],[moneda]]="pesos"),Tabla3_1[[#This Row],[Valor]]*VLOOKUP(Tabla3_1[[#This Row],[añpo]],ipc!$A:$D,4,FALSE),Tabla3_1[[#This Row],[Valor]])</f>
        <v/>
      </c>
    </row>
    <row r="395">
      <c r="A395" t="n">
        <v>2011</v>
      </c>
      <c r="B395" t="inlineStr">
        <is>
          <t>pesos</t>
        </is>
      </c>
      <c r="C395" t="inlineStr">
        <is>
          <t>Garantías y/o avales</t>
        </is>
      </c>
      <c r="E395">
        <f>IF(OR(Tabla3_1[[#This Row],[moneda]]="Total en ARS",Tabla3_1[[#This Row],[moneda]]="pesos"),Tabla3_1[[#This Row],[Valor]]*VLOOKUP(Tabla3_1[[#This Row],[añpo]],ipc!$A:$D,4,FALSE),Tabla3_1[[#This Row],[Valor]])</f>
        <v/>
      </c>
    </row>
    <row r="396">
      <c r="A396" t="n">
        <v>2011</v>
      </c>
      <c r="B396" t="inlineStr">
        <is>
          <t>pesos</t>
        </is>
      </c>
      <c r="C396" t="inlineStr">
        <is>
          <t>Acuerdo OSPLAD</t>
        </is>
      </c>
      <c r="E396">
        <f>IF(OR(Tabla3_1[[#This Row],[moneda]]="Total en ARS",Tabla3_1[[#This Row],[moneda]]="pesos"),Tabla3_1[[#This Row],[Valor]]*VLOOKUP(Tabla3_1[[#This Row],[añpo]],ipc!$A:$D,4,FALSE),Tabla3_1[[#This Row],[Valor]])</f>
        <v/>
      </c>
    </row>
    <row r="397">
      <c r="A397" t="n">
        <v>2011</v>
      </c>
      <c r="B397" t="inlineStr">
        <is>
          <t>pesos</t>
        </is>
      </c>
      <c r="C397" t="inlineStr">
        <is>
          <t>Préstamo ANSES - Ley 5603</t>
        </is>
      </c>
      <c r="E397">
        <f>IF(OR(Tabla3_1[[#This Row],[moneda]]="Total en ARS",Tabla3_1[[#This Row],[moneda]]="pesos"),Tabla3_1[[#This Row],[Valor]]*VLOOKUP(Tabla3_1[[#This Row],[añpo]],ipc!$A:$D,4,FALSE),Tabla3_1[[#This Row],[Valor]])</f>
        <v/>
      </c>
    </row>
    <row r="398">
      <c r="A398" t="n">
        <v>2011</v>
      </c>
      <c r="B398" t="inlineStr">
        <is>
          <t>dólares</t>
        </is>
      </c>
      <c r="C398" t="inlineStr">
        <is>
          <t>Proveedores y Contratistas</t>
        </is>
      </c>
      <c r="D398" t="n">
        <v>752.5825</v>
      </c>
      <c r="E398">
        <f>IF(OR(Tabla3_1[[#This Row],[moneda]]="Total en ARS",Tabla3_1[[#This Row],[moneda]]="pesos"),Tabla3_1[[#This Row],[Valor]]*VLOOKUP(Tabla3_1[[#This Row],[añpo]],ipc!$A:$D,4,FALSE),Tabla3_1[[#This Row],[Valor]])</f>
        <v/>
      </c>
    </row>
    <row r="399">
      <c r="A399" t="n">
        <v>2011</v>
      </c>
      <c r="B399" t="inlineStr">
        <is>
          <t>dólares</t>
        </is>
      </c>
      <c r="C399" t="inlineStr">
        <is>
          <t>Deuda previsional</t>
        </is>
      </c>
      <c r="D399" t="n">
        <v>1.4359</v>
      </c>
      <c r="E399">
        <f>IF(OR(Tabla3_1[[#This Row],[moneda]]="Total en ARS",Tabla3_1[[#This Row],[moneda]]="pesos"),Tabla3_1[[#This Row],[Valor]]*VLOOKUP(Tabla3_1[[#This Row],[añpo]],ipc!$A:$D,4,FALSE),Tabla3_1[[#This Row],[Valor]])</f>
        <v/>
      </c>
    </row>
    <row r="400">
      <c r="A400" t="n">
        <v>2011</v>
      </c>
      <c r="B400" t="inlineStr">
        <is>
          <t>dólares</t>
        </is>
      </c>
      <c r="C400" t="inlineStr">
        <is>
          <t>Títulos públicos</t>
        </is>
      </c>
      <c r="E400">
        <f>IF(OR(Tabla3_1[[#This Row],[moneda]]="Total en ARS",Tabla3_1[[#This Row],[moneda]]="pesos"),Tabla3_1[[#This Row],[Valor]]*VLOOKUP(Tabla3_1[[#This Row],[añpo]],ipc!$A:$D,4,FALSE),Tabla3_1[[#This Row],[Valor]])</f>
        <v/>
      </c>
    </row>
    <row r="401">
      <c r="A401" t="n">
        <v>2011</v>
      </c>
      <c r="B401" t="inlineStr">
        <is>
          <t>dólares</t>
        </is>
      </c>
      <c r="C401" t="inlineStr">
        <is>
          <t>Letras del Tesoro Ley 3395 art. 2</t>
        </is>
      </c>
      <c r="E401">
        <f>IF(OR(Tabla3_1[[#This Row],[moneda]]="Total en ARS",Tabla3_1[[#This Row],[moneda]]="pesos"),Tabla3_1[[#This Row],[Valor]]*VLOOKUP(Tabla3_1[[#This Row],[añpo]],ipc!$A:$D,4,FALSE),Tabla3_1[[#This Row],[Valor]])</f>
        <v/>
      </c>
    </row>
    <row r="402">
      <c r="A402" t="n">
        <v>2011</v>
      </c>
      <c r="B402" t="inlineStr">
        <is>
          <t>dólares</t>
        </is>
      </c>
      <c r="C402" t="inlineStr">
        <is>
          <t xml:space="preserve">Deuda financiera </t>
        </is>
      </c>
      <c r="E402">
        <f>IF(OR(Tabla3_1[[#This Row],[moneda]]="Total en ARS",Tabla3_1[[#This Row],[moneda]]="pesos"),Tabla3_1[[#This Row],[Valor]]*VLOOKUP(Tabla3_1[[#This Row],[añpo]],ipc!$A:$D,4,FALSE),Tabla3_1[[#This Row],[Valor]])</f>
        <v/>
      </c>
    </row>
    <row r="403">
      <c r="A403" t="n">
        <v>2011</v>
      </c>
      <c r="B403" t="inlineStr">
        <is>
          <t>dólares</t>
        </is>
      </c>
      <c r="C403" t="inlineStr">
        <is>
          <t>Organismos internacionales de crédito</t>
        </is>
      </c>
      <c r="D403" t="n">
        <v>133.6802</v>
      </c>
      <c r="E403">
        <f>IF(OR(Tabla3_1[[#This Row],[moneda]]="Total en ARS",Tabla3_1[[#This Row],[moneda]]="pesos"),Tabla3_1[[#This Row],[Valor]]*VLOOKUP(Tabla3_1[[#This Row],[añpo]],ipc!$A:$D,4,FALSE),Tabla3_1[[#This Row],[Valor]])</f>
        <v/>
      </c>
    </row>
    <row r="404">
      <c r="A404" t="n">
        <v>2011</v>
      </c>
      <c r="B404" t="inlineStr">
        <is>
          <t>dólares</t>
        </is>
      </c>
      <c r="C404" t="inlineStr">
        <is>
          <t>Garantías y/o avales</t>
        </is>
      </c>
      <c r="E404">
        <f>IF(OR(Tabla3_1[[#This Row],[moneda]]="Total en ARS",Tabla3_1[[#This Row],[moneda]]="pesos"),Tabla3_1[[#This Row],[Valor]]*VLOOKUP(Tabla3_1[[#This Row],[añpo]],ipc!$A:$D,4,FALSE),Tabla3_1[[#This Row],[Valor]])</f>
        <v/>
      </c>
    </row>
    <row r="405">
      <c r="A405" t="n">
        <v>2011</v>
      </c>
      <c r="B405" t="inlineStr">
        <is>
          <t>dólares</t>
        </is>
      </c>
      <c r="C405" t="inlineStr">
        <is>
          <t>Acuerdo OSPLAD</t>
        </is>
      </c>
      <c r="E405">
        <f>IF(OR(Tabla3_1[[#This Row],[moneda]]="Total en ARS",Tabla3_1[[#This Row],[moneda]]="pesos"),Tabla3_1[[#This Row],[Valor]]*VLOOKUP(Tabla3_1[[#This Row],[añpo]],ipc!$A:$D,4,FALSE),Tabla3_1[[#This Row],[Valor]])</f>
        <v/>
      </c>
    </row>
    <row r="406">
      <c r="A406" t="n">
        <v>2011</v>
      </c>
      <c r="B406" t="inlineStr">
        <is>
          <t>dólares</t>
        </is>
      </c>
      <c r="C406" t="inlineStr">
        <is>
          <t>Préstamo ANSES - Ley 5603</t>
        </is>
      </c>
      <c r="E406">
        <f>IF(OR(Tabla3_1[[#This Row],[moneda]]="Total en ARS",Tabla3_1[[#This Row],[moneda]]="pesos"),Tabla3_1[[#This Row],[Valor]]*VLOOKUP(Tabla3_1[[#This Row],[añpo]],ipc!$A:$D,4,FALSE),Tabla3_1[[#This Row],[Valor]])</f>
        <v/>
      </c>
    </row>
    <row r="407">
      <c r="A407" t="n">
        <v>2011</v>
      </c>
      <c r="B407" t="inlineStr">
        <is>
          <t xml:space="preserve">  euros</t>
        </is>
      </c>
      <c r="C407" t="inlineStr">
        <is>
          <t>Proveedores y Contratistas</t>
        </is>
      </c>
      <c r="D407" t="n">
        <v>85.5177</v>
      </c>
      <c r="E407">
        <f>IF(OR(Tabla3_1[[#This Row],[moneda]]="Total en ARS",Tabla3_1[[#This Row],[moneda]]="pesos"),Tabla3_1[[#This Row],[Valor]]*VLOOKUP(Tabla3_1[[#This Row],[añpo]],ipc!$A:$D,4,FALSE),Tabla3_1[[#This Row],[Valor]])</f>
        <v/>
      </c>
    </row>
    <row r="408">
      <c r="A408" t="n">
        <v>2011</v>
      </c>
      <c r="B408" t="inlineStr">
        <is>
          <t xml:space="preserve">  euros</t>
        </is>
      </c>
      <c r="C408" t="inlineStr">
        <is>
          <t>Deuda previsional</t>
        </is>
      </c>
      <c r="E408">
        <f>IF(OR(Tabla3_1[[#This Row],[moneda]]="Total en ARS",Tabla3_1[[#This Row],[moneda]]="pesos"),Tabla3_1[[#This Row],[Valor]]*VLOOKUP(Tabla3_1[[#This Row],[añpo]],ipc!$A:$D,4,FALSE),Tabla3_1[[#This Row],[Valor]])</f>
        <v/>
      </c>
    </row>
    <row r="409">
      <c r="A409" t="n">
        <v>2011</v>
      </c>
      <c r="B409" t="inlineStr">
        <is>
          <t xml:space="preserve">  euros</t>
        </is>
      </c>
      <c r="C409" t="inlineStr">
        <is>
          <t>Títulos públicos</t>
        </is>
      </c>
      <c r="E409">
        <f>IF(OR(Tabla3_1[[#This Row],[moneda]]="Total en ARS",Tabla3_1[[#This Row],[moneda]]="pesos"),Tabla3_1[[#This Row],[Valor]]*VLOOKUP(Tabla3_1[[#This Row],[añpo]],ipc!$A:$D,4,FALSE),Tabla3_1[[#This Row],[Valor]])</f>
        <v/>
      </c>
    </row>
    <row r="410">
      <c r="A410" t="n">
        <v>2011</v>
      </c>
      <c r="B410" t="inlineStr">
        <is>
          <t xml:space="preserve">  euros</t>
        </is>
      </c>
      <c r="C410" t="inlineStr">
        <is>
          <t>Letras del Tesoro Ley 3395 art. 2</t>
        </is>
      </c>
      <c r="E410">
        <f>IF(OR(Tabla3_1[[#This Row],[moneda]]="Total en ARS",Tabla3_1[[#This Row],[moneda]]="pesos"),Tabla3_1[[#This Row],[Valor]]*VLOOKUP(Tabla3_1[[#This Row],[añpo]],ipc!$A:$D,4,FALSE),Tabla3_1[[#This Row],[Valor]])</f>
        <v/>
      </c>
    </row>
    <row r="411">
      <c r="A411" t="n">
        <v>2011</v>
      </c>
      <c r="B411" t="inlineStr">
        <is>
          <t xml:space="preserve">  euros</t>
        </is>
      </c>
      <c r="C411" t="inlineStr">
        <is>
          <t xml:space="preserve">Deuda financiera </t>
        </is>
      </c>
      <c r="E411">
        <f>IF(OR(Tabla3_1[[#This Row],[moneda]]="Total en ARS",Tabla3_1[[#This Row],[moneda]]="pesos"),Tabla3_1[[#This Row],[Valor]]*VLOOKUP(Tabla3_1[[#This Row],[añpo]],ipc!$A:$D,4,FALSE),Tabla3_1[[#This Row],[Valor]])</f>
        <v/>
      </c>
    </row>
    <row r="412">
      <c r="A412" t="n">
        <v>2011</v>
      </c>
      <c r="B412" t="inlineStr">
        <is>
          <t xml:space="preserve">  euros</t>
        </is>
      </c>
      <c r="C412" t="inlineStr">
        <is>
          <t>Organismos internacionales de crédito</t>
        </is>
      </c>
      <c r="D412" t="n">
        <v>85.5177</v>
      </c>
      <c r="E412">
        <f>IF(OR(Tabla3_1[[#This Row],[moneda]]="Total en ARS",Tabla3_1[[#This Row],[moneda]]="pesos"),Tabla3_1[[#This Row],[Valor]]*VLOOKUP(Tabla3_1[[#This Row],[añpo]],ipc!$A:$D,4,FALSE),Tabla3_1[[#This Row],[Valor]])</f>
        <v/>
      </c>
    </row>
    <row r="413">
      <c r="A413" t="n">
        <v>2011</v>
      </c>
      <c r="B413" t="inlineStr">
        <is>
          <t xml:space="preserve">  euros</t>
        </is>
      </c>
      <c r="C413" t="inlineStr">
        <is>
          <t>Garantías y/o avales</t>
        </is>
      </c>
      <c r="E413">
        <f>IF(OR(Tabla3_1[[#This Row],[moneda]]="Total en ARS",Tabla3_1[[#This Row],[moneda]]="pesos"),Tabla3_1[[#This Row],[Valor]]*VLOOKUP(Tabla3_1[[#This Row],[añpo]],ipc!$A:$D,4,FALSE),Tabla3_1[[#This Row],[Valor]])</f>
        <v/>
      </c>
    </row>
    <row r="414">
      <c r="A414" t="n">
        <v>2011</v>
      </c>
      <c r="B414" t="inlineStr">
        <is>
          <t xml:space="preserve">  euros</t>
        </is>
      </c>
      <c r="C414" t="inlineStr">
        <is>
          <t>Acuerdo OSPLAD</t>
        </is>
      </c>
      <c r="E414">
        <f>IF(OR(Tabla3_1[[#This Row],[moneda]]="Total en ARS",Tabla3_1[[#This Row],[moneda]]="pesos"),Tabla3_1[[#This Row],[Valor]]*VLOOKUP(Tabla3_1[[#This Row],[añpo]],ipc!$A:$D,4,FALSE),Tabla3_1[[#This Row],[Valor]])</f>
        <v/>
      </c>
    </row>
    <row r="415">
      <c r="A415" t="n">
        <v>2011</v>
      </c>
      <c r="B415" t="inlineStr">
        <is>
          <t xml:space="preserve">  euros</t>
        </is>
      </c>
      <c r="C415" t="inlineStr">
        <is>
          <t>Préstamo ANSES - Ley 5603</t>
        </is>
      </c>
      <c r="E415">
        <f>IF(OR(Tabla3_1[[#This Row],[moneda]]="Total en ARS",Tabla3_1[[#This Row],[moneda]]="pesos"),Tabla3_1[[#This Row],[Valor]]*VLOOKUP(Tabla3_1[[#This Row],[añpo]],ipc!$A:$D,4,FALSE),Tabla3_1[[#This Row],[Valor]])</f>
        <v/>
      </c>
    </row>
    <row r="416">
      <c r="A416" t="n">
        <v>2012</v>
      </c>
      <c r="B416" t="inlineStr">
        <is>
          <t>pesos</t>
        </is>
      </c>
      <c r="C416" t="inlineStr">
        <is>
          <t>Proveedores y Contratistas</t>
        </is>
      </c>
      <c r="D416" t="n">
        <v>11269.585120904</v>
      </c>
      <c r="E416">
        <f>IF(OR(Tabla3_1[[#This Row],[moneda]]="Total en ARS",Tabla3_1[[#This Row],[moneda]]="pesos"),Tabla3_1[[#This Row],[Valor]]*VLOOKUP(Tabla3_1[[#This Row],[añpo]],ipc!$A:$D,4,FALSE),Tabla3_1[[#This Row],[Valor]])</f>
        <v/>
      </c>
    </row>
    <row r="417">
      <c r="A417" t="n">
        <v>2012</v>
      </c>
      <c r="B417" t="inlineStr">
        <is>
          <t>pesos</t>
        </is>
      </c>
      <c r="C417" t="inlineStr">
        <is>
          <t>Deuda previsional</t>
        </is>
      </c>
      <c r="D417" t="n">
        <v>4146.924304</v>
      </c>
      <c r="E417">
        <f>IF(OR(Tabla3_1[[#This Row],[moneda]]="Total en ARS",Tabla3_1[[#This Row],[moneda]]="pesos"),Tabla3_1[[#This Row],[Valor]]*VLOOKUP(Tabla3_1[[#This Row],[añpo]],ipc!$A:$D,4,FALSE),Tabla3_1[[#This Row],[Valor]])</f>
        <v/>
      </c>
    </row>
    <row r="418">
      <c r="A418" t="n">
        <v>2012</v>
      </c>
      <c r="B418" t="inlineStr">
        <is>
          <t>pesos</t>
        </is>
      </c>
      <c r="C418" t="inlineStr">
        <is>
          <t>Títulos públicos</t>
        </is>
      </c>
      <c r="D418" t="n">
        <v>32.611</v>
      </c>
      <c r="E418">
        <f>IF(OR(Tabla3_1[[#This Row],[moneda]]="Total en ARS",Tabla3_1[[#This Row],[moneda]]="pesos"),Tabla3_1[[#This Row],[Valor]]*VLOOKUP(Tabla3_1[[#This Row],[añpo]],ipc!$A:$D,4,FALSE),Tabla3_1[[#This Row],[Valor]])</f>
        <v/>
      </c>
    </row>
    <row r="419">
      <c r="A419" t="n">
        <v>2012</v>
      </c>
      <c r="B419" t="inlineStr">
        <is>
          <t>pesos</t>
        </is>
      </c>
      <c r="C419" t="inlineStr">
        <is>
          <t>Letras del Tesoro Ley 3395 art. 2</t>
        </is>
      </c>
      <c r="E419">
        <f>IF(OR(Tabla3_1[[#This Row],[moneda]]="Total en ARS",Tabla3_1[[#This Row],[moneda]]="pesos"),Tabla3_1[[#This Row],[Valor]]*VLOOKUP(Tabla3_1[[#This Row],[añpo]],ipc!$A:$D,4,FALSE),Tabla3_1[[#This Row],[Valor]])</f>
        <v/>
      </c>
    </row>
    <row r="420">
      <c r="A420" t="n">
        <v>2012</v>
      </c>
      <c r="B420" t="inlineStr">
        <is>
          <t>pesos</t>
        </is>
      </c>
      <c r="C420" t="inlineStr">
        <is>
          <t xml:space="preserve">Deuda financiera </t>
        </is>
      </c>
      <c r="E420">
        <f>IF(OR(Tabla3_1[[#This Row],[moneda]]="Total en ARS",Tabla3_1[[#This Row],[moneda]]="pesos"),Tabla3_1[[#This Row],[Valor]]*VLOOKUP(Tabla3_1[[#This Row],[añpo]],ipc!$A:$D,4,FALSE),Tabla3_1[[#This Row],[Valor]])</f>
        <v/>
      </c>
    </row>
    <row r="421">
      <c r="A421" t="n">
        <v>2012</v>
      </c>
      <c r="B421" t="inlineStr">
        <is>
          <t>pesos</t>
        </is>
      </c>
      <c r="C421" t="inlineStr">
        <is>
          <t>Organismos internacionales de crédito</t>
        </is>
      </c>
      <c r="D421" t="n">
        <v>1212.343202904</v>
      </c>
      <c r="E421">
        <f>IF(OR(Tabla3_1[[#This Row],[moneda]]="Total en ARS",Tabla3_1[[#This Row],[moneda]]="pesos"),Tabla3_1[[#This Row],[Valor]]*VLOOKUP(Tabla3_1[[#This Row],[añpo]],ipc!$A:$D,4,FALSE),Tabla3_1[[#This Row],[Valor]])</f>
        <v/>
      </c>
    </row>
    <row r="422">
      <c r="A422" t="n">
        <v>2012</v>
      </c>
      <c r="B422" t="inlineStr">
        <is>
          <t>pesos</t>
        </is>
      </c>
      <c r="C422" t="inlineStr">
        <is>
          <t>Garantías y/o avales</t>
        </is>
      </c>
      <c r="E422">
        <f>IF(OR(Tabla3_1[[#This Row],[moneda]]="Total en ARS",Tabla3_1[[#This Row],[moneda]]="pesos"),Tabla3_1[[#This Row],[Valor]]*VLOOKUP(Tabla3_1[[#This Row],[añpo]],ipc!$A:$D,4,FALSE),Tabla3_1[[#This Row],[Valor]])</f>
        <v/>
      </c>
    </row>
    <row r="423">
      <c r="A423" t="n">
        <v>2012</v>
      </c>
      <c r="B423" t="inlineStr">
        <is>
          <t>pesos</t>
        </is>
      </c>
      <c r="C423" t="inlineStr">
        <is>
          <t>Acuerdo OSPLAD</t>
        </is>
      </c>
      <c r="D423" t="n">
        <v>107.2273</v>
      </c>
      <c r="E423">
        <f>IF(OR(Tabla3_1[[#This Row],[moneda]]="Total en ARS",Tabla3_1[[#This Row],[moneda]]="pesos"),Tabla3_1[[#This Row],[Valor]]*VLOOKUP(Tabla3_1[[#This Row],[añpo]],ipc!$A:$D,4,FALSE),Tabla3_1[[#This Row],[Valor]])</f>
        <v/>
      </c>
    </row>
    <row r="424">
      <c r="A424" t="n">
        <v>2012</v>
      </c>
      <c r="B424" t="inlineStr">
        <is>
          <t>pesos</t>
        </is>
      </c>
      <c r="C424" t="inlineStr">
        <is>
          <t>Préstamo ANSES - Ley 5603</t>
        </is>
      </c>
      <c r="E424">
        <f>IF(OR(Tabla3_1[[#This Row],[moneda]]="Total en ARS",Tabla3_1[[#This Row],[moneda]]="pesos"),Tabla3_1[[#This Row],[Valor]]*VLOOKUP(Tabla3_1[[#This Row],[añpo]],ipc!$A:$D,4,FALSE),Tabla3_1[[#This Row],[Valor]])</f>
        <v/>
      </c>
    </row>
    <row r="425">
      <c r="A425" t="n">
        <v>2012</v>
      </c>
      <c r="B425" t="inlineStr">
        <is>
          <t>Total en ARS</t>
        </is>
      </c>
      <c r="C425" t="inlineStr">
        <is>
          <t>Proveedores y Contratistas</t>
        </is>
      </c>
      <c r="D425" t="n">
        <v>4448.012099999999</v>
      </c>
      <c r="E425">
        <f>IF(OR(Tabla3_1[[#This Row],[moneda]]="Total en ARS",Tabla3_1[[#This Row],[moneda]]="pesos"),Tabla3_1[[#This Row],[Valor]]*VLOOKUP(Tabla3_1[[#This Row],[añpo]],ipc!$A:$D,4,FALSE),Tabla3_1[[#This Row],[Valor]])</f>
        <v/>
      </c>
    </row>
    <row r="426">
      <c r="A426" t="n">
        <v>2012</v>
      </c>
      <c r="B426" t="inlineStr">
        <is>
          <t>Total en ARS</t>
        </is>
      </c>
      <c r="C426" t="inlineStr">
        <is>
          <t>Deuda previsional</t>
        </is>
      </c>
      <c r="D426" t="n">
        <v>4112.6065</v>
      </c>
      <c r="E426">
        <f>IF(OR(Tabla3_1[[#This Row],[moneda]]="Total en ARS",Tabla3_1[[#This Row],[moneda]]="pesos"),Tabla3_1[[#This Row],[Valor]]*VLOOKUP(Tabla3_1[[#This Row],[añpo]],ipc!$A:$D,4,FALSE),Tabla3_1[[#This Row],[Valor]])</f>
        <v/>
      </c>
    </row>
    <row r="427">
      <c r="A427" t="n">
        <v>2012</v>
      </c>
      <c r="B427" t="inlineStr">
        <is>
          <t>Total en ARS</t>
        </is>
      </c>
      <c r="C427" t="inlineStr">
        <is>
          <t>Títulos públicos</t>
        </is>
      </c>
      <c r="D427" t="n">
        <v>32.611</v>
      </c>
      <c r="E427">
        <f>IF(OR(Tabla3_1[[#This Row],[moneda]]="Total en ARS",Tabla3_1[[#This Row],[moneda]]="pesos"),Tabla3_1[[#This Row],[Valor]]*VLOOKUP(Tabla3_1[[#This Row],[añpo]],ipc!$A:$D,4,FALSE),Tabla3_1[[#This Row],[Valor]])</f>
        <v/>
      </c>
    </row>
    <row r="428">
      <c r="A428" t="n">
        <v>2012</v>
      </c>
      <c r="B428" t="inlineStr">
        <is>
          <t>Total en ARS</t>
        </is>
      </c>
      <c r="C428" t="inlineStr">
        <is>
          <t>Letras del Tesoro Ley 3395 art. 2</t>
        </is>
      </c>
      <c r="E428">
        <f>IF(OR(Tabla3_1[[#This Row],[moneda]]="Total en ARS",Tabla3_1[[#This Row],[moneda]]="pesos"),Tabla3_1[[#This Row],[Valor]]*VLOOKUP(Tabla3_1[[#This Row],[añpo]],ipc!$A:$D,4,FALSE),Tabla3_1[[#This Row],[Valor]])</f>
        <v/>
      </c>
    </row>
    <row r="429">
      <c r="A429" t="n">
        <v>2012</v>
      </c>
      <c r="B429" t="inlineStr">
        <is>
          <t>Total en ARS</t>
        </is>
      </c>
      <c r="C429" t="inlineStr">
        <is>
          <t xml:space="preserve">Deuda financiera </t>
        </is>
      </c>
      <c r="E429">
        <f>IF(OR(Tabla3_1[[#This Row],[moneda]]="Total en ARS",Tabla3_1[[#This Row],[moneda]]="pesos"),Tabla3_1[[#This Row],[Valor]]*VLOOKUP(Tabla3_1[[#This Row],[añpo]],ipc!$A:$D,4,FALSE),Tabla3_1[[#This Row],[Valor]])</f>
        <v/>
      </c>
    </row>
    <row r="430">
      <c r="A430" t="n">
        <v>2012</v>
      </c>
      <c r="B430" t="inlineStr">
        <is>
          <t>Total en ARS</t>
        </is>
      </c>
      <c r="C430" t="inlineStr">
        <is>
          <t>Organismos internacionales de crédito</t>
        </is>
      </c>
      <c r="E430">
        <f>IF(OR(Tabla3_1[[#This Row],[moneda]]="Total en ARS",Tabla3_1[[#This Row],[moneda]]="pesos"),Tabla3_1[[#This Row],[Valor]]*VLOOKUP(Tabla3_1[[#This Row],[añpo]],ipc!$A:$D,4,FALSE),Tabla3_1[[#This Row],[Valor]])</f>
        <v/>
      </c>
    </row>
    <row r="431">
      <c r="A431" t="n">
        <v>2012</v>
      </c>
      <c r="B431" t="inlineStr">
        <is>
          <t>Total en ARS</t>
        </is>
      </c>
      <c r="C431" t="inlineStr">
        <is>
          <t>Garantías y/o avales</t>
        </is>
      </c>
      <c r="E431">
        <f>IF(OR(Tabla3_1[[#This Row],[moneda]]="Total en ARS",Tabla3_1[[#This Row],[moneda]]="pesos"),Tabla3_1[[#This Row],[Valor]]*VLOOKUP(Tabla3_1[[#This Row],[añpo]],ipc!$A:$D,4,FALSE),Tabla3_1[[#This Row],[Valor]])</f>
        <v/>
      </c>
    </row>
    <row r="432">
      <c r="A432" t="n">
        <v>2012</v>
      </c>
      <c r="B432" t="inlineStr">
        <is>
          <t>Total en ARS</t>
        </is>
      </c>
      <c r="C432" t="inlineStr">
        <is>
          <t>Acuerdo OSPLAD</t>
        </is>
      </c>
      <c r="D432" t="n">
        <v>107.2273</v>
      </c>
      <c r="E432">
        <f>IF(OR(Tabla3_1[[#This Row],[moneda]]="Total en ARS",Tabla3_1[[#This Row],[moneda]]="pesos"),Tabla3_1[[#This Row],[Valor]]*VLOOKUP(Tabla3_1[[#This Row],[añpo]],ipc!$A:$D,4,FALSE),Tabla3_1[[#This Row],[Valor]])</f>
        <v/>
      </c>
    </row>
    <row r="433">
      <c r="A433" t="n">
        <v>2012</v>
      </c>
      <c r="B433" t="inlineStr">
        <is>
          <t>Total en ARS</t>
        </is>
      </c>
      <c r="C433" t="inlineStr">
        <is>
          <t>Préstamo ANSES - Ley 5603</t>
        </is>
      </c>
      <c r="E433">
        <f>IF(OR(Tabla3_1[[#This Row],[moneda]]="Total en ARS",Tabla3_1[[#This Row],[moneda]]="pesos"),Tabla3_1[[#This Row],[Valor]]*VLOOKUP(Tabla3_1[[#This Row],[añpo]],ipc!$A:$D,4,FALSE),Tabla3_1[[#This Row],[Valor]])</f>
        <v/>
      </c>
    </row>
    <row r="434">
      <c r="A434" t="n">
        <v>2012</v>
      </c>
      <c r="B434" t="inlineStr">
        <is>
          <t>dólares</t>
        </is>
      </c>
      <c r="C434" t="inlineStr">
        <is>
          <t>Proveedores y Contratistas</t>
        </is>
      </c>
      <c r="D434" t="n">
        <v>1257.4379</v>
      </c>
      <c r="E434">
        <f>IF(OR(Tabla3_1[[#This Row],[moneda]]="Total en ARS",Tabla3_1[[#This Row],[moneda]]="pesos"),Tabla3_1[[#This Row],[Valor]]*VLOOKUP(Tabla3_1[[#This Row],[añpo]],ipc!$A:$D,4,FALSE),Tabla3_1[[#This Row],[Valor]])</f>
        <v/>
      </c>
    </row>
    <row r="435">
      <c r="A435" t="n">
        <v>2012</v>
      </c>
      <c r="B435" t="inlineStr">
        <is>
          <t>dólares</t>
        </is>
      </c>
      <c r="C435" t="inlineStr">
        <is>
          <t>Deuda previsional</t>
        </is>
      </c>
      <c r="D435" t="n">
        <v>6.978</v>
      </c>
      <c r="E435">
        <f>IF(OR(Tabla3_1[[#This Row],[moneda]]="Total en ARS",Tabla3_1[[#This Row],[moneda]]="pesos"),Tabla3_1[[#This Row],[Valor]]*VLOOKUP(Tabla3_1[[#This Row],[añpo]],ipc!$A:$D,4,FALSE),Tabla3_1[[#This Row],[Valor]])</f>
        <v/>
      </c>
    </row>
    <row r="436">
      <c r="A436" t="n">
        <v>2012</v>
      </c>
      <c r="B436" t="inlineStr">
        <is>
          <t>dólares</t>
        </is>
      </c>
      <c r="C436" t="inlineStr">
        <is>
          <t>Títulos públicos</t>
        </is>
      </c>
      <c r="E436">
        <f>IF(OR(Tabla3_1[[#This Row],[moneda]]="Total en ARS",Tabla3_1[[#This Row],[moneda]]="pesos"),Tabla3_1[[#This Row],[Valor]]*VLOOKUP(Tabla3_1[[#This Row],[añpo]],ipc!$A:$D,4,FALSE),Tabla3_1[[#This Row],[Valor]])</f>
        <v/>
      </c>
    </row>
    <row r="437">
      <c r="A437" t="n">
        <v>2012</v>
      </c>
      <c r="B437" t="inlineStr">
        <is>
          <t>dólares</t>
        </is>
      </c>
      <c r="C437" t="inlineStr">
        <is>
          <t>Letras del Tesoro Ley 3395 art. 2</t>
        </is>
      </c>
      <c r="E437">
        <f>IF(OR(Tabla3_1[[#This Row],[moneda]]="Total en ARS",Tabla3_1[[#This Row],[moneda]]="pesos"),Tabla3_1[[#This Row],[Valor]]*VLOOKUP(Tabla3_1[[#This Row],[añpo]],ipc!$A:$D,4,FALSE),Tabla3_1[[#This Row],[Valor]])</f>
        <v/>
      </c>
    </row>
    <row r="438">
      <c r="A438" t="n">
        <v>2012</v>
      </c>
      <c r="B438" t="inlineStr">
        <is>
          <t>dólares</t>
        </is>
      </c>
      <c r="C438" t="inlineStr">
        <is>
          <t xml:space="preserve">Deuda financiera </t>
        </is>
      </c>
      <c r="E438">
        <f>IF(OR(Tabla3_1[[#This Row],[moneda]]="Total en ARS",Tabla3_1[[#This Row],[moneda]]="pesos"),Tabla3_1[[#This Row],[Valor]]*VLOOKUP(Tabla3_1[[#This Row],[añpo]],ipc!$A:$D,4,FALSE),Tabla3_1[[#This Row],[Valor]])</f>
        <v/>
      </c>
    </row>
    <row r="439">
      <c r="A439" t="n">
        <v>2012</v>
      </c>
      <c r="B439" t="inlineStr">
        <is>
          <t>dólares</t>
        </is>
      </c>
      <c r="C439" t="inlineStr">
        <is>
          <t>Organismos internacionales de crédito</t>
        </is>
      </c>
      <c r="D439" t="n">
        <v>116.8869</v>
      </c>
      <c r="E439">
        <f>IF(OR(Tabla3_1[[#This Row],[moneda]]="Total en ARS",Tabla3_1[[#This Row],[moneda]]="pesos"),Tabla3_1[[#This Row],[Valor]]*VLOOKUP(Tabla3_1[[#This Row],[añpo]],ipc!$A:$D,4,FALSE),Tabla3_1[[#This Row],[Valor]])</f>
        <v/>
      </c>
    </row>
    <row r="440">
      <c r="A440" t="n">
        <v>2012</v>
      </c>
      <c r="B440" t="inlineStr">
        <is>
          <t>dólares</t>
        </is>
      </c>
      <c r="C440" t="inlineStr">
        <is>
          <t>Garantías y/o avales</t>
        </is>
      </c>
      <c r="E440">
        <f>IF(OR(Tabla3_1[[#This Row],[moneda]]="Total en ARS",Tabla3_1[[#This Row],[moneda]]="pesos"),Tabla3_1[[#This Row],[Valor]]*VLOOKUP(Tabla3_1[[#This Row],[añpo]],ipc!$A:$D,4,FALSE),Tabla3_1[[#This Row],[Valor]])</f>
        <v/>
      </c>
    </row>
    <row r="441">
      <c r="A441" t="n">
        <v>2012</v>
      </c>
      <c r="B441" t="inlineStr">
        <is>
          <t>dólares</t>
        </is>
      </c>
      <c r="C441" t="inlineStr">
        <is>
          <t>Acuerdo OSPLAD</t>
        </is>
      </c>
      <c r="E441">
        <f>IF(OR(Tabla3_1[[#This Row],[moneda]]="Total en ARS",Tabla3_1[[#This Row],[moneda]]="pesos"),Tabla3_1[[#This Row],[Valor]]*VLOOKUP(Tabla3_1[[#This Row],[añpo]],ipc!$A:$D,4,FALSE),Tabla3_1[[#This Row],[Valor]])</f>
        <v/>
      </c>
    </row>
    <row r="442">
      <c r="A442" t="n">
        <v>2012</v>
      </c>
      <c r="B442" t="inlineStr">
        <is>
          <t>dólares</t>
        </is>
      </c>
      <c r="C442" t="inlineStr">
        <is>
          <t>Préstamo ANSES - Ley 5603</t>
        </is>
      </c>
      <c r="E442">
        <f>IF(OR(Tabla3_1[[#This Row],[moneda]]="Total en ARS",Tabla3_1[[#This Row],[moneda]]="pesos"),Tabla3_1[[#This Row],[Valor]]*VLOOKUP(Tabla3_1[[#This Row],[añpo]],ipc!$A:$D,4,FALSE),Tabla3_1[[#This Row],[Valor]])</f>
        <v/>
      </c>
    </row>
    <row r="443">
      <c r="A443" t="n">
        <v>2012</v>
      </c>
      <c r="B443" t="inlineStr">
        <is>
          <t xml:space="preserve">  euros</t>
        </is>
      </c>
      <c r="C443" t="inlineStr">
        <is>
          <t>Proveedores y Contratistas</t>
        </is>
      </c>
      <c r="D443" t="n">
        <v>98.2004</v>
      </c>
      <c r="E443">
        <f>IF(OR(Tabla3_1[[#This Row],[moneda]]="Total en ARS",Tabla3_1[[#This Row],[moneda]]="pesos"),Tabla3_1[[#This Row],[Valor]]*VLOOKUP(Tabla3_1[[#This Row],[añpo]],ipc!$A:$D,4,FALSE),Tabla3_1[[#This Row],[Valor]])</f>
        <v/>
      </c>
    </row>
    <row r="444">
      <c r="A444" t="n">
        <v>2012</v>
      </c>
      <c r="B444" t="inlineStr">
        <is>
          <t xml:space="preserve">  euros</t>
        </is>
      </c>
      <c r="C444" t="inlineStr">
        <is>
          <t>Deuda previsional</t>
        </is>
      </c>
      <c r="E444">
        <f>IF(OR(Tabla3_1[[#This Row],[moneda]]="Total en ARS",Tabla3_1[[#This Row],[moneda]]="pesos"),Tabla3_1[[#This Row],[Valor]]*VLOOKUP(Tabla3_1[[#This Row],[añpo]],ipc!$A:$D,4,FALSE),Tabla3_1[[#This Row],[Valor]])</f>
        <v/>
      </c>
    </row>
    <row r="445">
      <c r="A445" t="n">
        <v>2012</v>
      </c>
      <c r="B445" t="inlineStr">
        <is>
          <t xml:space="preserve">  euros</t>
        </is>
      </c>
      <c r="C445" t="inlineStr">
        <is>
          <t>Títulos públicos</t>
        </is>
      </c>
      <c r="E445">
        <f>IF(OR(Tabla3_1[[#This Row],[moneda]]="Total en ARS",Tabla3_1[[#This Row],[moneda]]="pesos"),Tabla3_1[[#This Row],[Valor]]*VLOOKUP(Tabla3_1[[#This Row],[añpo]],ipc!$A:$D,4,FALSE),Tabla3_1[[#This Row],[Valor]])</f>
        <v/>
      </c>
    </row>
    <row r="446">
      <c r="A446" t="n">
        <v>2012</v>
      </c>
      <c r="B446" t="inlineStr">
        <is>
          <t xml:space="preserve">  euros</t>
        </is>
      </c>
      <c r="C446" t="inlineStr">
        <is>
          <t>Letras del Tesoro Ley 3395 art. 2</t>
        </is>
      </c>
      <c r="E446">
        <f>IF(OR(Tabla3_1[[#This Row],[moneda]]="Total en ARS",Tabla3_1[[#This Row],[moneda]]="pesos"),Tabla3_1[[#This Row],[Valor]]*VLOOKUP(Tabla3_1[[#This Row],[añpo]],ipc!$A:$D,4,FALSE),Tabla3_1[[#This Row],[Valor]])</f>
        <v/>
      </c>
    </row>
    <row r="447">
      <c r="A447" t="n">
        <v>2012</v>
      </c>
      <c r="B447" t="inlineStr">
        <is>
          <t xml:space="preserve">  euros</t>
        </is>
      </c>
      <c r="C447" t="inlineStr">
        <is>
          <t xml:space="preserve">Deuda financiera </t>
        </is>
      </c>
      <c r="E447">
        <f>IF(OR(Tabla3_1[[#This Row],[moneda]]="Total en ARS",Tabla3_1[[#This Row],[moneda]]="pesos"),Tabla3_1[[#This Row],[Valor]]*VLOOKUP(Tabla3_1[[#This Row],[añpo]],ipc!$A:$D,4,FALSE),Tabla3_1[[#This Row],[Valor]])</f>
        <v/>
      </c>
    </row>
    <row r="448">
      <c r="A448" t="n">
        <v>2012</v>
      </c>
      <c r="B448" t="inlineStr">
        <is>
          <t xml:space="preserve">  euros</t>
        </is>
      </c>
      <c r="C448" t="inlineStr">
        <is>
          <t>Organismos internacionales de crédito</t>
        </is>
      </c>
      <c r="D448" t="n">
        <v>98.2004</v>
      </c>
      <c r="E448">
        <f>IF(OR(Tabla3_1[[#This Row],[moneda]]="Total en ARS",Tabla3_1[[#This Row],[moneda]]="pesos"),Tabla3_1[[#This Row],[Valor]]*VLOOKUP(Tabla3_1[[#This Row],[añpo]],ipc!$A:$D,4,FALSE),Tabla3_1[[#This Row],[Valor]])</f>
        <v/>
      </c>
    </row>
    <row r="449">
      <c r="A449" t="n">
        <v>2012</v>
      </c>
      <c r="B449" t="inlineStr">
        <is>
          <t xml:space="preserve">  euros</t>
        </is>
      </c>
      <c r="C449" t="inlineStr">
        <is>
          <t>Garantías y/o avales</t>
        </is>
      </c>
      <c r="E449">
        <f>IF(OR(Tabla3_1[[#This Row],[moneda]]="Total en ARS",Tabla3_1[[#This Row],[moneda]]="pesos"),Tabla3_1[[#This Row],[Valor]]*VLOOKUP(Tabla3_1[[#This Row],[añpo]],ipc!$A:$D,4,FALSE),Tabla3_1[[#This Row],[Valor]])</f>
        <v/>
      </c>
    </row>
    <row r="450">
      <c r="A450" t="n">
        <v>2012</v>
      </c>
      <c r="B450" t="inlineStr">
        <is>
          <t xml:space="preserve">  euros</t>
        </is>
      </c>
      <c r="C450" t="inlineStr">
        <is>
          <t>Acuerdo OSPLAD</t>
        </is>
      </c>
      <c r="E450">
        <f>IF(OR(Tabla3_1[[#This Row],[moneda]]="Total en ARS",Tabla3_1[[#This Row],[moneda]]="pesos"),Tabla3_1[[#This Row],[Valor]]*VLOOKUP(Tabla3_1[[#This Row],[añpo]],ipc!$A:$D,4,FALSE),Tabla3_1[[#This Row],[Valor]])</f>
        <v/>
      </c>
    </row>
    <row r="451">
      <c r="A451" t="n">
        <v>2012</v>
      </c>
      <c r="B451" t="inlineStr">
        <is>
          <t xml:space="preserve">  euros</t>
        </is>
      </c>
      <c r="C451" t="inlineStr">
        <is>
          <t>Préstamo ANSES - Ley 5603</t>
        </is>
      </c>
      <c r="E451">
        <f>IF(OR(Tabla3_1[[#This Row],[moneda]]="Total en ARS",Tabla3_1[[#This Row],[moneda]]="pesos"),Tabla3_1[[#This Row],[Valor]]*VLOOKUP(Tabla3_1[[#This Row],[añpo]],ipc!$A:$D,4,FALSE),Tabla3_1[[#This Row],[Valor]])</f>
        <v/>
      </c>
    </row>
    <row r="452">
      <c r="A452" t="n">
        <v>2013</v>
      </c>
      <c r="B452" t="inlineStr">
        <is>
          <t>pesos</t>
        </is>
      </c>
      <c r="C452" t="inlineStr">
        <is>
          <t>Proveedores y Contratistas</t>
        </is>
      </c>
      <c r="D452" t="n">
        <v>17227.3043945</v>
      </c>
      <c r="E452">
        <f>IF(OR(Tabla3_1[[#This Row],[moneda]]="Total en ARS",Tabla3_1[[#This Row],[moneda]]="pesos"),Tabla3_1[[#This Row],[Valor]]*VLOOKUP(Tabla3_1[[#This Row],[añpo]],ipc!$A:$D,4,FALSE),Tabla3_1[[#This Row],[Valor]])</f>
        <v/>
      </c>
    </row>
    <row r="453">
      <c r="A453" t="n">
        <v>2013</v>
      </c>
      <c r="B453" t="inlineStr">
        <is>
          <t>pesos</t>
        </is>
      </c>
      <c r="C453" t="inlineStr">
        <is>
          <t>Deuda previsional</t>
        </is>
      </c>
      <c r="D453" t="n">
        <v>5387.716885</v>
      </c>
      <c r="E453">
        <f>IF(OR(Tabla3_1[[#This Row],[moneda]]="Total en ARS",Tabla3_1[[#This Row],[moneda]]="pesos"),Tabla3_1[[#This Row],[Valor]]*VLOOKUP(Tabla3_1[[#This Row],[añpo]],ipc!$A:$D,4,FALSE),Tabla3_1[[#This Row],[Valor]])</f>
        <v/>
      </c>
    </row>
    <row r="454">
      <c r="A454" t="n">
        <v>2013</v>
      </c>
      <c r="B454" t="inlineStr">
        <is>
          <t>pesos</t>
        </is>
      </c>
      <c r="C454" t="inlineStr">
        <is>
          <t>Títulos públicos</t>
        </is>
      </c>
      <c r="D454" t="n">
        <v>32.7004</v>
      </c>
      <c r="E454">
        <f>IF(OR(Tabla3_1[[#This Row],[moneda]]="Total en ARS",Tabla3_1[[#This Row],[moneda]]="pesos"),Tabla3_1[[#This Row],[Valor]]*VLOOKUP(Tabla3_1[[#This Row],[añpo]],ipc!$A:$D,4,FALSE),Tabla3_1[[#This Row],[Valor]])</f>
        <v/>
      </c>
    </row>
    <row r="455">
      <c r="A455" t="n">
        <v>2013</v>
      </c>
      <c r="B455" t="inlineStr">
        <is>
          <t>pesos</t>
        </is>
      </c>
      <c r="C455" t="inlineStr">
        <is>
          <t>Letras del Tesoro Ley 3395 art. 2</t>
        </is>
      </c>
      <c r="E455">
        <f>IF(OR(Tabla3_1[[#This Row],[moneda]]="Total en ARS",Tabla3_1[[#This Row],[moneda]]="pesos"),Tabla3_1[[#This Row],[Valor]]*VLOOKUP(Tabla3_1[[#This Row],[añpo]],ipc!$A:$D,4,FALSE),Tabla3_1[[#This Row],[Valor]])</f>
        <v/>
      </c>
    </row>
    <row r="456">
      <c r="A456" t="n">
        <v>2013</v>
      </c>
      <c r="B456" t="inlineStr">
        <is>
          <t>pesos</t>
        </is>
      </c>
      <c r="C456" t="inlineStr">
        <is>
          <t xml:space="preserve">Deuda financiera </t>
        </is>
      </c>
      <c r="E456">
        <f>IF(OR(Tabla3_1[[#This Row],[moneda]]="Total en ARS",Tabla3_1[[#This Row],[moneda]]="pesos"),Tabla3_1[[#This Row],[Valor]]*VLOOKUP(Tabla3_1[[#This Row],[añpo]],ipc!$A:$D,4,FALSE),Tabla3_1[[#This Row],[Valor]])</f>
        <v/>
      </c>
    </row>
    <row r="457">
      <c r="A457" t="n">
        <v>2013</v>
      </c>
      <c r="B457" t="inlineStr">
        <is>
          <t>pesos</t>
        </is>
      </c>
      <c r="C457" t="inlineStr">
        <is>
          <t>Organismos internacionales de crédito</t>
        </is>
      </c>
      <c r="D457" t="n">
        <v>1543.3295595</v>
      </c>
      <c r="E457">
        <f>IF(OR(Tabla3_1[[#This Row],[moneda]]="Total en ARS",Tabla3_1[[#This Row],[moneda]]="pesos"),Tabla3_1[[#This Row],[Valor]]*VLOOKUP(Tabla3_1[[#This Row],[añpo]],ipc!$A:$D,4,FALSE),Tabla3_1[[#This Row],[Valor]])</f>
        <v/>
      </c>
    </row>
    <row r="458">
      <c r="A458" t="n">
        <v>2013</v>
      </c>
      <c r="B458" t="inlineStr">
        <is>
          <t>pesos</t>
        </is>
      </c>
      <c r="C458" t="inlineStr">
        <is>
          <t>Garantías y/o avales</t>
        </is>
      </c>
      <c r="E458">
        <f>IF(OR(Tabla3_1[[#This Row],[moneda]]="Total en ARS",Tabla3_1[[#This Row],[moneda]]="pesos"),Tabla3_1[[#This Row],[Valor]]*VLOOKUP(Tabla3_1[[#This Row],[añpo]],ipc!$A:$D,4,FALSE),Tabla3_1[[#This Row],[Valor]])</f>
        <v/>
      </c>
    </row>
    <row r="459">
      <c r="A459" t="n">
        <v>2013</v>
      </c>
      <c r="B459" t="inlineStr">
        <is>
          <t>pesos</t>
        </is>
      </c>
      <c r="C459" t="inlineStr">
        <is>
          <t>Acuerdo OSPLAD</t>
        </is>
      </c>
      <c r="D459" t="n">
        <v>50.4245</v>
      </c>
      <c r="E459">
        <f>IF(OR(Tabla3_1[[#This Row],[moneda]]="Total en ARS",Tabla3_1[[#This Row],[moneda]]="pesos"),Tabla3_1[[#This Row],[Valor]]*VLOOKUP(Tabla3_1[[#This Row],[añpo]],ipc!$A:$D,4,FALSE),Tabla3_1[[#This Row],[Valor]])</f>
        <v/>
      </c>
    </row>
    <row r="460">
      <c r="A460" t="n">
        <v>2013</v>
      </c>
      <c r="B460" t="inlineStr">
        <is>
          <t>pesos</t>
        </is>
      </c>
      <c r="C460" t="inlineStr">
        <is>
          <t>Préstamo ANSES - Ley 5603</t>
        </is>
      </c>
      <c r="E460">
        <f>IF(OR(Tabla3_1[[#This Row],[moneda]]="Total en ARS",Tabla3_1[[#This Row],[moneda]]="pesos"),Tabla3_1[[#This Row],[Valor]]*VLOOKUP(Tabla3_1[[#This Row],[añpo]],ipc!$A:$D,4,FALSE),Tabla3_1[[#This Row],[Valor]])</f>
        <v/>
      </c>
    </row>
    <row r="461">
      <c r="A461" t="n">
        <v>2013</v>
      </c>
      <c r="B461" t="inlineStr">
        <is>
          <t>Total en ARS</t>
        </is>
      </c>
      <c r="C461" t="inlineStr">
        <is>
          <t>Proveedores y Contratistas</t>
        </is>
      </c>
      <c r="D461" t="n">
        <v>5537.6168</v>
      </c>
      <c r="E461">
        <f>IF(OR(Tabla3_1[[#This Row],[moneda]]="Total en ARS",Tabla3_1[[#This Row],[moneda]]="pesos"),Tabla3_1[[#This Row],[Valor]]*VLOOKUP(Tabla3_1[[#This Row],[añpo]],ipc!$A:$D,4,FALSE),Tabla3_1[[#This Row],[Valor]])</f>
        <v/>
      </c>
    </row>
    <row r="462">
      <c r="A462" t="n">
        <v>2013</v>
      </c>
      <c r="B462" t="inlineStr">
        <is>
          <t>Total en ARS</t>
        </is>
      </c>
      <c r="C462" t="inlineStr">
        <is>
          <t>Deuda previsional</t>
        </is>
      </c>
      <c r="D462" t="n">
        <v>5352.538</v>
      </c>
      <c r="E462">
        <f>IF(OR(Tabla3_1[[#This Row],[moneda]]="Total en ARS",Tabla3_1[[#This Row],[moneda]]="pesos"),Tabla3_1[[#This Row],[Valor]]*VLOOKUP(Tabla3_1[[#This Row],[añpo]],ipc!$A:$D,4,FALSE),Tabla3_1[[#This Row],[Valor]])</f>
        <v/>
      </c>
    </row>
    <row r="463">
      <c r="A463" t="n">
        <v>2013</v>
      </c>
      <c r="B463" t="inlineStr">
        <is>
          <t>Total en ARS</t>
        </is>
      </c>
      <c r="C463" t="inlineStr">
        <is>
          <t>Títulos públicos</t>
        </is>
      </c>
      <c r="D463" t="n">
        <v>32.7004</v>
      </c>
      <c r="E463">
        <f>IF(OR(Tabla3_1[[#This Row],[moneda]]="Total en ARS",Tabla3_1[[#This Row],[moneda]]="pesos"),Tabla3_1[[#This Row],[Valor]]*VLOOKUP(Tabla3_1[[#This Row],[añpo]],ipc!$A:$D,4,FALSE),Tabla3_1[[#This Row],[Valor]])</f>
        <v/>
      </c>
    </row>
    <row r="464">
      <c r="A464" t="n">
        <v>2013</v>
      </c>
      <c r="B464" t="inlineStr">
        <is>
          <t>Total en ARS</t>
        </is>
      </c>
      <c r="C464" t="inlineStr">
        <is>
          <t>Letras del Tesoro Ley 3395 art. 2</t>
        </is>
      </c>
      <c r="E464">
        <f>IF(OR(Tabla3_1[[#This Row],[moneda]]="Total en ARS",Tabla3_1[[#This Row],[moneda]]="pesos"),Tabla3_1[[#This Row],[Valor]]*VLOOKUP(Tabla3_1[[#This Row],[añpo]],ipc!$A:$D,4,FALSE),Tabla3_1[[#This Row],[Valor]])</f>
        <v/>
      </c>
    </row>
    <row r="465">
      <c r="A465" t="n">
        <v>2013</v>
      </c>
      <c r="B465" t="inlineStr">
        <is>
          <t>Total en ARS</t>
        </is>
      </c>
      <c r="C465" t="inlineStr">
        <is>
          <t xml:space="preserve">Deuda financiera </t>
        </is>
      </c>
      <c r="E465">
        <f>IF(OR(Tabla3_1[[#This Row],[moneda]]="Total en ARS",Tabla3_1[[#This Row],[moneda]]="pesos"),Tabla3_1[[#This Row],[Valor]]*VLOOKUP(Tabla3_1[[#This Row],[añpo]],ipc!$A:$D,4,FALSE),Tabla3_1[[#This Row],[Valor]])</f>
        <v/>
      </c>
    </row>
    <row r="466">
      <c r="A466" t="n">
        <v>2013</v>
      </c>
      <c r="B466" t="inlineStr">
        <is>
          <t>Total en ARS</t>
        </is>
      </c>
      <c r="C466" t="inlineStr">
        <is>
          <t>Organismos internacionales de crédito</t>
        </is>
      </c>
      <c r="E466">
        <f>IF(OR(Tabla3_1[[#This Row],[moneda]]="Total en ARS",Tabla3_1[[#This Row],[moneda]]="pesos"),Tabla3_1[[#This Row],[Valor]]*VLOOKUP(Tabla3_1[[#This Row],[añpo]],ipc!$A:$D,4,FALSE),Tabla3_1[[#This Row],[Valor]])</f>
        <v/>
      </c>
    </row>
    <row r="467">
      <c r="A467" t="n">
        <v>2013</v>
      </c>
      <c r="B467" t="inlineStr">
        <is>
          <t>Total en ARS</t>
        </is>
      </c>
      <c r="C467" t="inlineStr">
        <is>
          <t>Garantías y/o avales</t>
        </is>
      </c>
      <c r="E467">
        <f>IF(OR(Tabla3_1[[#This Row],[moneda]]="Total en ARS",Tabla3_1[[#This Row],[moneda]]="pesos"),Tabla3_1[[#This Row],[Valor]]*VLOOKUP(Tabla3_1[[#This Row],[añpo]],ipc!$A:$D,4,FALSE),Tabla3_1[[#This Row],[Valor]])</f>
        <v/>
      </c>
    </row>
    <row r="468">
      <c r="A468" t="n">
        <v>2013</v>
      </c>
      <c r="B468" t="inlineStr">
        <is>
          <t>Total en ARS</t>
        </is>
      </c>
      <c r="C468" t="inlineStr">
        <is>
          <t>Acuerdo OSPLAD</t>
        </is>
      </c>
      <c r="D468" t="n">
        <v>50.4245</v>
      </c>
      <c r="E468">
        <f>IF(OR(Tabla3_1[[#This Row],[moneda]]="Total en ARS",Tabla3_1[[#This Row],[moneda]]="pesos"),Tabla3_1[[#This Row],[Valor]]*VLOOKUP(Tabla3_1[[#This Row],[añpo]],ipc!$A:$D,4,FALSE),Tabla3_1[[#This Row],[Valor]])</f>
        <v/>
      </c>
    </row>
    <row r="469">
      <c r="A469" t="n">
        <v>2013</v>
      </c>
      <c r="B469" t="inlineStr">
        <is>
          <t>Total en ARS</t>
        </is>
      </c>
      <c r="C469" t="inlineStr">
        <is>
          <t>Préstamo ANSES - Ley 5603</t>
        </is>
      </c>
      <c r="E469">
        <f>IF(OR(Tabla3_1[[#This Row],[moneda]]="Total en ARS",Tabla3_1[[#This Row],[moneda]]="pesos"),Tabla3_1[[#This Row],[Valor]]*VLOOKUP(Tabla3_1[[#This Row],[añpo]],ipc!$A:$D,4,FALSE),Tabla3_1[[#This Row],[Valor]])</f>
        <v/>
      </c>
    </row>
    <row r="470">
      <c r="A470" t="n">
        <v>2013</v>
      </c>
      <c r="B470" t="inlineStr">
        <is>
          <t>dólares</t>
        </is>
      </c>
      <c r="C470" t="inlineStr">
        <is>
          <t>Proveedores y Contratistas</t>
        </is>
      </c>
      <c r="D470" t="n">
        <v>1655.3117</v>
      </c>
      <c r="E470">
        <f>IF(OR(Tabla3_1[[#This Row],[moneda]]="Total en ARS",Tabla3_1[[#This Row],[moneda]]="pesos"),Tabla3_1[[#This Row],[Valor]]*VLOOKUP(Tabla3_1[[#This Row],[añpo]],ipc!$A:$D,4,FALSE),Tabla3_1[[#This Row],[Valor]])</f>
        <v/>
      </c>
    </row>
    <row r="471">
      <c r="A471" t="n">
        <v>2013</v>
      </c>
      <c r="B471" t="inlineStr">
        <is>
          <t>dólares</t>
        </is>
      </c>
      <c r="C471" t="inlineStr">
        <is>
          <t>Deuda previsional</t>
        </is>
      </c>
      <c r="D471" t="n">
        <v>5.3914</v>
      </c>
      <c r="E471">
        <f>IF(OR(Tabla3_1[[#This Row],[moneda]]="Total en ARS",Tabla3_1[[#This Row],[moneda]]="pesos"),Tabla3_1[[#This Row],[Valor]]*VLOOKUP(Tabla3_1[[#This Row],[añpo]],ipc!$A:$D,4,FALSE),Tabla3_1[[#This Row],[Valor]])</f>
        <v/>
      </c>
    </row>
    <row r="472">
      <c r="A472" t="n">
        <v>2013</v>
      </c>
      <c r="B472" t="inlineStr">
        <is>
          <t>dólares</t>
        </is>
      </c>
      <c r="C472" t="inlineStr">
        <is>
          <t>Títulos públicos</t>
        </is>
      </c>
      <c r="E472">
        <f>IF(OR(Tabla3_1[[#This Row],[moneda]]="Total en ARS",Tabla3_1[[#This Row],[moneda]]="pesos"),Tabla3_1[[#This Row],[Valor]]*VLOOKUP(Tabla3_1[[#This Row],[añpo]],ipc!$A:$D,4,FALSE),Tabla3_1[[#This Row],[Valor]])</f>
        <v/>
      </c>
    </row>
    <row r="473">
      <c r="A473" t="n">
        <v>2013</v>
      </c>
      <c r="B473" t="inlineStr">
        <is>
          <t>dólares</t>
        </is>
      </c>
      <c r="C473" t="inlineStr">
        <is>
          <t>Letras del Tesoro Ley 3395 art. 2</t>
        </is>
      </c>
      <c r="E473">
        <f>IF(OR(Tabla3_1[[#This Row],[moneda]]="Total en ARS",Tabla3_1[[#This Row],[moneda]]="pesos"),Tabla3_1[[#This Row],[Valor]]*VLOOKUP(Tabla3_1[[#This Row],[añpo]],ipc!$A:$D,4,FALSE),Tabla3_1[[#This Row],[Valor]])</f>
        <v/>
      </c>
    </row>
    <row r="474">
      <c r="A474" t="n">
        <v>2013</v>
      </c>
      <c r="B474" t="inlineStr">
        <is>
          <t>dólares</t>
        </is>
      </c>
      <c r="C474" t="inlineStr">
        <is>
          <t xml:space="preserve">Deuda financiera </t>
        </is>
      </c>
      <c r="E474">
        <f>IF(OR(Tabla3_1[[#This Row],[moneda]]="Total en ARS",Tabla3_1[[#This Row],[moneda]]="pesos"),Tabla3_1[[#This Row],[Valor]]*VLOOKUP(Tabla3_1[[#This Row],[añpo]],ipc!$A:$D,4,FALSE),Tabla3_1[[#This Row],[Valor]])</f>
        <v/>
      </c>
    </row>
    <row r="475">
      <c r="A475" t="n">
        <v>2013</v>
      </c>
      <c r="B475" t="inlineStr">
        <is>
          <t>dólares</t>
        </is>
      </c>
      <c r="C475" t="inlineStr">
        <is>
          <t>Organismos internacionales de crédito</t>
        </is>
      </c>
      <c r="D475" t="n">
        <v>100.3143</v>
      </c>
      <c r="E475">
        <f>IF(OR(Tabla3_1[[#This Row],[moneda]]="Total en ARS",Tabla3_1[[#This Row],[moneda]]="pesos"),Tabla3_1[[#This Row],[Valor]]*VLOOKUP(Tabla3_1[[#This Row],[añpo]],ipc!$A:$D,4,FALSE),Tabla3_1[[#This Row],[Valor]])</f>
        <v/>
      </c>
    </row>
    <row r="476">
      <c r="A476" t="n">
        <v>2013</v>
      </c>
      <c r="B476" t="inlineStr">
        <is>
          <t>dólares</t>
        </is>
      </c>
      <c r="C476" t="inlineStr">
        <is>
          <t>Garantías y/o avales</t>
        </is>
      </c>
      <c r="E476">
        <f>IF(OR(Tabla3_1[[#This Row],[moneda]]="Total en ARS",Tabla3_1[[#This Row],[moneda]]="pesos"),Tabla3_1[[#This Row],[Valor]]*VLOOKUP(Tabla3_1[[#This Row],[añpo]],ipc!$A:$D,4,FALSE),Tabla3_1[[#This Row],[Valor]])</f>
        <v/>
      </c>
    </row>
    <row r="477">
      <c r="A477" t="n">
        <v>2013</v>
      </c>
      <c r="B477" t="inlineStr">
        <is>
          <t>dólares</t>
        </is>
      </c>
      <c r="C477" t="inlineStr">
        <is>
          <t>Acuerdo OSPLAD</t>
        </is>
      </c>
      <c r="E477">
        <f>IF(OR(Tabla3_1[[#This Row],[moneda]]="Total en ARS",Tabla3_1[[#This Row],[moneda]]="pesos"),Tabla3_1[[#This Row],[Valor]]*VLOOKUP(Tabla3_1[[#This Row],[añpo]],ipc!$A:$D,4,FALSE),Tabla3_1[[#This Row],[Valor]])</f>
        <v/>
      </c>
    </row>
    <row r="478">
      <c r="A478" t="n">
        <v>2013</v>
      </c>
      <c r="B478" t="inlineStr">
        <is>
          <t>dólares</t>
        </is>
      </c>
      <c r="C478" t="inlineStr">
        <is>
          <t>Préstamo ANSES - Ley 5603</t>
        </is>
      </c>
      <c r="E478">
        <f>IF(OR(Tabla3_1[[#This Row],[moneda]]="Total en ARS",Tabla3_1[[#This Row],[moneda]]="pesos"),Tabla3_1[[#This Row],[Valor]]*VLOOKUP(Tabla3_1[[#This Row],[añpo]],ipc!$A:$D,4,FALSE),Tabla3_1[[#This Row],[Valor]])</f>
        <v/>
      </c>
    </row>
    <row r="479">
      <c r="A479" t="n">
        <v>2013</v>
      </c>
      <c r="B479" t="inlineStr">
        <is>
          <t xml:space="preserve">  euros</t>
        </is>
      </c>
      <c r="C479" t="inlineStr">
        <is>
          <t>Proveedores y Contratistas</t>
        </is>
      </c>
      <c r="D479" t="n">
        <v>98.0992</v>
      </c>
      <c r="E479">
        <f>IF(OR(Tabla3_1[[#This Row],[moneda]]="Total en ARS",Tabla3_1[[#This Row],[moneda]]="pesos"),Tabla3_1[[#This Row],[Valor]]*VLOOKUP(Tabla3_1[[#This Row],[añpo]],ipc!$A:$D,4,FALSE),Tabla3_1[[#This Row],[Valor]])</f>
        <v/>
      </c>
    </row>
    <row r="480">
      <c r="A480" t="n">
        <v>2013</v>
      </c>
      <c r="B480" t="inlineStr">
        <is>
          <t xml:space="preserve">  euros</t>
        </is>
      </c>
      <c r="C480" t="inlineStr">
        <is>
          <t>Deuda previsional</t>
        </is>
      </c>
      <c r="E480">
        <f>IF(OR(Tabla3_1[[#This Row],[moneda]]="Total en ARS",Tabla3_1[[#This Row],[moneda]]="pesos"),Tabla3_1[[#This Row],[Valor]]*VLOOKUP(Tabla3_1[[#This Row],[añpo]],ipc!$A:$D,4,FALSE),Tabla3_1[[#This Row],[Valor]])</f>
        <v/>
      </c>
    </row>
    <row r="481">
      <c r="A481" t="n">
        <v>2013</v>
      </c>
      <c r="B481" t="inlineStr">
        <is>
          <t xml:space="preserve">  euros</t>
        </is>
      </c>
      <c r="C481" t="inlineStr">
        <is>
          <t>Títulos públicos</t>
        </is>
      </c>
      <c r="E481">
        <f>IF(OR(Tabla3_1[[#This Row],[moneda]]="Total en ARS",Tabla3_1[[#This Row],[moneda]]="pesos"),Tabla3_1[[#This Row],[Valor]]*VLOOKUP(Tabla3_1[[#This Row],[añpo]],ipc!$A:$D,4,FALSE),Tabla3_1[[#This Row],[Valor]])</f>
        <v/>
      </c>
    </row>
    <row r="482">
      <c r="A482" t="n">
        <v>2013</v>
      </c>
      <c r="B482" t="inlineStr">
        <is>
          <t xml:space="preserve">  euros</t>
        </is>
      </c>
      <c r="C482" t="inlineStr">
        <is>
          <t>Letras del Tesoro Ley 3395 art. 2</t>
        </is>
      </c>
      <c r="E482">
        <f>IF(OR(Tabla3_1[[#This Row],[moneda]]="Total en ARS",Tabla3_1[[#This Row],[moneda]]="pesos"),Tabla3_1[[#This Row],[Valor]]*VLOOKUP(Tabla3_1[[#This Row],[añpo]],ipc!$A:$D,4,FALSE),Tabla3_1[[#This Row],[Valor]])</f>
        <v/>
      </c>
    </row>
    <row r="483">
      <c r="A483" t="n">
        <v>2013</v>
      </c>
      <c r="B483" t="inlineStr">
        <is>
          <t xml:space="preserve">  euros</t>
        </is>
      </c>
      <c r="C483" t="inlineStr">
        <is>
          <t xml:space="preserve">Deuda financiera </t>
        </is>
      </c>
      <c r="E483">
        <f>IF(OR(Tabla3_1[[#This Row],[moneda]]="Total en ARS",Tabla3_1[[#This Row],[moneda]]="pesos"),Tabla3_1[[#This Row],[Valor]]*VLOOKUP(Tabla3_1[[#This Row],[añpo]],ipc!$A:$D,4,FALSE),Tabla3_1[[#This Row],[Valor]])</f>
        <v/>
      </c>
    </row>
    <row r="484">
      <c r="A484" t="n">
        <v>2013</v>
      </c>
      <c r="B484" t="inlineStr">
        <is>
          <t xml:space="preserve">  euros</t>
        </is>
      </c>
      <c r="C484" t="inlineStr">
        <is>
          <t>Organismos internacionales de crédito</t>
        </is>
      </c>
      <c r="D484" t="n">
        <v>98.0992</v>
      </c>
      <c r="E484">
        <f>IF(OR(Tabla3_1[[#This Row],[moneda]]="Total en ARS",Tabla3_1[[#This Row],[moneda]]="pesos"),Tabla3_1[[#This Row],[Valor]]*VLOOKUP(Tabla3_1[[#This Row],[añpo]],ipc!$A:$D,4,FALSE),Tabla3_1[[#This Row],[Valor]])</f>
        <v/>
      </c>
    </row>
    <row r="485">
      <c r="A485" t="n">
        <v>2013</v>
      </c>
      <c r="B485" t="inlineStr">
        <is>
          <t xml:space="preserve">  euros</t>
        </is>
      </c>
      <c r="C485" t="inlineStr">
        <is>
          <t>Garantías y/o avales</t>
        </is>
      </c>
      <c r="E485">
        <f>IF(OR(Tabla3_1[[#This Row],[moneda]]="Total en ARS",Tabla3_1[[#This Row],[moneda]]="pesos"),Tabla3_1[[#This Row],[Valor]]*VLOOKUP(Tabla3_1[[#This Row],[añpo]],ipc!$A:$D,4,FALSE),Tabla3_1[[#This Row],[Valor]])</f>
        <v/>
      </c>
    </row>
    <row r="486">
      <c r="A486" t="n">
        <v>2013</v>
      </c>
      <c r="B486" t="inlineStr">
        <is>
          <t xml:space="preserve">  euros</t>
        </is>
      </c>
      <c r="C486" t="inlineStr">
        <is>
          <t>Acuerdo OSPLAD</t>
        </is>
      </c>
      <c r="E486">
        <f>IF(OR(Tabla3_1[[#This Row],[moneda]]="Total en ARS",Tabla3_1[[#This Row],[moneda]]="pesos"),Tabla3_1[[#This Row],[Valor]]*VLOOKUP(Tabla3_1[[#This Row],[añpo]],ipc!$A:$D,4,FALSE),Tabla3_1[[#This Row],[Valor]])</f>
        <v/>
      </c>
    </row>
    <row r="487">
      <c r="A487" t="n">
        <v>2013</v>
      </c>
      <c r="B487" t="inlineStr">
        <is>
          <t xml:space="preserve">  euros</t>
        </is>
      </c>
      <c r="C487" t="inlineStr">
        <is>
          <t>Préstamo ANSES - Ley 5603</t>
        </is>
      </c>
      <c r="E487">
        <f>IF(OR(Tabla3_1[[#This Row],[moneda]]="Total en ARS",Tabla3_1[[#This Row],[moneda]]="pesos"),Tabla3_1[[#This Row],[Valor]]*VLOOKUP(Tabla3_1[[#This Row],[añpo]],ipc!$A:$D,4,FALSE),Tabla3_1[[#This Row],[Valor]])</f>
        <v/>
      </c>
    </row>
    <row r="488">
      <c r="A488" t="n">
        <v>2014</v>
      </c>
      <c r="B488" t="inlineStr">
        <is>
          <t>Total en ARS</t>
        </is>
      </c>
      <c r="C488" t="inlineStr">
        <is>
          <t>Proveedores y Contratistas</t>
        </is>
      </c>
      <c r="D488" t="n">
        <v>26433.9254386</v>
      </c>
      <c r="E488">
        <f>IF(OR(Tabla3_1[[#This Row],[moneda]]="Total en ARS",Tabla3_1[[#This Row],[moneda]]="pesos"),Tabla3_1[[#This Row],[Valor]]*VLOOKUP(Tabla3_1[[#This Row],[añpo]],ipc!$A:$D,4,FALSE),Tabla3_1[[#This Row],[Valor]])</f>
        <v/>
      </c>
    </row>
    <row r="489">
      <c r="A489" t="n">
        <v>2014</v>
      </c>
      <c r="B489" t="inlineStr">
        <is>
          <t>Total en ARS</t>
        </is>
      </c>
      <c r="C489" t="inlineStr">
        <is>
          <t>Deuda previsional</t>
        </is>
      </c>
      <c r="D489" t="n">
        <v>8020.386878</v>
      </c>
      <c r="E489">
        <f>IF(OR(Tabla3_1[[#This Row],[moneda]]="Total en ARS",Tabla3_1[[#This Row],[moneda]]="pesos"),Tabla3_1[[#This Row],[Valor]]*VLOOKUP(Tabla3_1[[#This Row],[añpo]],ipc!$A:$D,4,FALSE),Tabla3_1[[#This Row],[Valor]])</f>
        <v/>
      </c>
    </row>
    <row r="490">
      <c r="A490" t="n">
        <v>2014</v>
      </c>
      <c r="B490" t="inlineStr">
        <is>
          <t>Total en ARS</t>
        </is>
      </c>
      <c r="C490" t="inlineStr">
        <is>
          <t>Títulos públicos</t>
        </is>
      </c>
      <c r="D490" t="n">
        <v>32.7549</v>
      </c>
      <c r="E490">
        <f>IF(OR(Tabla3_1[[#This Row],[moneda]]="Total en ARS",Tabla3_1[[#This Row],[moneda]]="pesos"),Tabla3_1[[#This Row],[Valor]]*VLOOKUP(Tabla3_1[[#This Row],[añpo]],ipc!$A:$D,4,FALSE),Tabla3_1[[#This Row],[Valor]])</f>
        <v/>
      </c>
    </row>
    <row r="491">
      <c r="A491" t="n">
        <v>2014</v>
      </c>
      <c r="B491" t="inlineStr">
        <is>
          <t>Total en ARS</t>
        </is>
      </c>
      <c r="C491" t="inlineStr">
        <is>
          <t>Letras del Tesoro Ley 3395 art. 2</t>
        </is>
      </c>
      <c r="D491" t="n">
        <v>441.4464</v>
      </c>
      <c r="E491">
        <f>IF(OR(Tabla3_1[[#This Row],[moneda]]="Total en ARS",Tabla3_1[[#This Row],[moneda]]="pesos"),Tabla3_1[[#This Row],[Valor]]*VLOOKUP(Tabla3_1[[#This Row],[añpo]],ipc!$A:$D,4,FALSE),Tabla3_1[[#This Row],[Valor]])</f>
        <v/>
      </c>
    </row>
    <row r="492">
      <c r="A492" t="n">
        <v>2014</v>
      </c>
      <c r="B492" t="inlineStr">
        <is>
          <t>Total en ARS</t>
        </is>
      </c>
      <c r="C492" t="inlineStr">
        <is>
          <t xml:space="preserve">Deuda financiera </t>
        </is>
      </c>
      <c r="E492">
        <f>IF(OR(Tabla3_1[[#This Row],[moneda]]="Total en ARS",Tabla3_1[[#This Row],[moneda]]="pesos"),Tabla3_1[[#This Row],[Valor]]*VLOOKUP(Tabla3_1[[#This Row],[añpo]],ipc!$A:$D,4,FALSE),Tabla3_1[[#This Row],[Valor]])</f>
        <v/>
      </c>
    </row>
    <row r="493">
      <c r="A493" t="n">
        <v>2014</v>
      </c>
      <c r="B493" t="inlineStr">
        <is>
          <t>Total en ARS</t>
        </is>
      </c>
      <c r="C493" t="inlineStr">
        <is>
          <t>Organismos internacionales de crédito</t>
        </is>
      </c>
      <c r="D493" t="n">
        <v>1725.1670066</v>
      </c>
      <c r="E493">
        <f>IF(OR(Tabla3_1[[#This Row],[moneda]]="Total en ARS",Tabla3_1[[#This Row],[moneda]]="pesos"),Tabla3_1[[#This Row],[Valor]]*VLOOKUP(Tabla3_1[[#This Row],[añpo]],ipc!$A:$D,4,FALSE),Tabla3_1[[#This Row],[Valor]])</f>
        <v/>
      </c>
    </row>
    <row r="494">
      <c r="A494" t="n">
        <v>2014</v>
      </c>
      <c r="B494" t="inlineStr">
        <is>
          <t>Total en ARS</t>
        </is>
      </c>
      <c r="C494" t="inlineStr">
        <is>
          <t>Garantías y/o avales</t>
        </is>
      </c>
      <c r="E494">
        <f>IF(OR(Tabla3_1[[#This Row],[moneda]]="Total en ARS",Tabla3_1[[#This Row],[moneda]]="pesos"),Tabla3_1[[#This Row],[Valor]]*VLOOKUP(Tabla3_1[[#This Row],[añpo]],ipc!$A:$D,4,FALSE),Tabla3_1[[#This Row],[Valor]])</f>
        <v/>
      </c>
    </row>
    <row r="495">
      <c r="A495" t="n">
        <v>2014</v>
      </c>
      <c r="B495" t="inlineStr">
        <is>
          <t>Total en ARS</t>
        </is>
      </c>
      <c r="C495" t="inlineStr">
        <is>
          <t>Acuerdo OSPLAD</t>
        </is>
      </c>
      <c r="D495" t="n">
        <v>15.721</v>
      </c>
      <c r="E495">
        <f>IF(OR(Tabla3_1[[#This Row],[moneda]]="Total en ARS",Tabla3_1[[#This Row],[moneda]]="pesos"),Tabla3_1[[#This Row],[Valor]]*VLOOKUP(Tabla3_1[[#This Row],[añpo]],ipc!$A:$D,4,FALSE),Tabla3_1[[#This Row],[Valor]])</f>
        <v/>
      </c>
    </row>
    <row r="496">
      <c r="A496" t="n">
        <v>2014</v>
      </c>
      <c r="B496" t="inlineStr">
        <is>
          <t>Total en ARS</t>
        </is>
      </c>
      <c r="C496" t="inlineStr">
        <is>
          <t>Préstamo ANSES - Ley 5603</t>
        </is>
      </c>
      <c r="E496">
        <f>IF(OR(Tabla3_1[[#This Row],[moneda]]="Total en ARS",Tabla3_1[[#This Row],[moneda]]="pesos"),Tabla3_1[[#This Row],[Valor]]*VLOOKUP(Tabla3_1[[#This Row],[añpo]],ipc!$A:$D,4,FALSE),Tabla3_1[[#This Row],[Valor]])</f>
        <v/>
      </c>
    </row>
    <row r="497">
      <c r="A497" t="n">
        <v>2014</v>
      </c>
      <c r="B497" t="inlineStr">
        <is>
          <t>pesos</t>
        </is>
      </c>
      <c r="C497" t="inlineStr">
        <is>
          <t>Proveedores y Contratistas</t>
        </is>
      </c>
      <c r="D497" t="n">
        <v>8858.351199999999</v>
      </c>
      <c r="E497">
        <f>IF(OR(Tabla3_1[[#This Row],[moneda]]="Total en ARS",Tabla3_1[[#This Row],[moneda]]="pesos"),Tabla3_1[[#This Row],[Valor]]*VLOOKUP(Tabla3_1[[#This Row],[añpo]],ipc!$A:$D,4,FALSE),Tabla3_1[[#This Row],[Valor]])</f>
        <v/>
      </c>
    </row>
    <row r="498">
      <c r="A498" t="n">
        <v>2014</v>
      </c>
      <c r="B498" t="inlineStr">
        <is>
          <t>pesos</t>
        </is>
      </c>
      <c r="C498" t="inlineStr">
        <is>
          <t>Deuda previsional</t>
        </is>
      </c>
      <c r="D498" t="n">
        <v>7994.0669</v>
      </c>
      <c r="E498">
        <f>IF(OR(Tabla3_1[[#This Row],[moneda]]="Total en ARS",Tabla3_1[[#This Row],[moneda]]="pesos"),Tabla3_1[[#This Row],[Valor]]*VLOOKUP(Tabla3_1[[#This Row],[añpo]],ipc!$A:$D,4,FALSE),Tabla3_1[[#This Row],[Valor]])</f>
        <v/>
      </c>
    </row>
    <row r="499">
      <c r="A499" t="n">
        <v>2014</v>
      </c>
      <c r="B499" t="inlineStr">
        <is>
          <t>pesos</t>
        </is>
      </c>
      <c r="C499" t="inlineStr">
        <is>
          <t>Títulos públicos</t>
        </is>
      </c>
      <c r="D499" t="n">
        <v>32.7549</v>
      </c>
      <c r="E499">
        <f>IF(OR(Tabla3_1[[#This Row],[moneda]]="Total en ARS",Tabla3_1[[#This Row],[moneda]]="pesos"),Tabla3_1[[#This Row],[Valor]]*VLOOKUP(Tabla3_1[[#This Row],[añpo]],ipc!$A:$D,4,FALSE),Tabla3_1[[#This Row],[Valor]])</f>
        <v/>
      </c>
    </row>
    <row r="500">
      <c r="A500" t="n">
        <v>2014</v>
      </c>
      <c r="B500" t="inlineStr">
        <is>
          <t>pesos</t>
        </is>
      </c>
      <c r="C500" t="inlineStr">
        <is>
          <t>Letras del Tesoro Ley 3395 art. 2</t>
        </is>
      </c>
      <c r="D500" t="n">
        <v>441.4464</v>
      </c>
      <c r="E500">
        <f>IF(OR(Tabla3_1[[#This Row],[moneda]]="Total en ARS",Tabla3_1[[#This Row],[moneda]]="pesos"),Tabla3_1[[#This Row],[Valor]]*VLOOKUP(Tabla3_1[[#This Row],[añpo]],ipc!$A:$D,4,FALSE),Tabla3_1[[#This Row],[Valor]])</f>
        <v/>
      </c>
    </row>
    <row r="501">
      <c r="A501" t="n">
        <v>2014</v>
      </c>
      <c r="B501" t="inlineStr">
        <is>
          <t>pesos</t>
        </is>
      </c>
      <c r="C501" t="inlineStr">
        <is>
          <t xml:space="preserve">Deuda financiera </t>
        </is>
      </c>
      <c r="E501">
        <f>IF(OR(Tabla3_1[[#This Row],[moneda]]="Total en ARS",Tabla3_1[[#This Row],[moneda]]="pesos"),Tabla3_1[[#This Row],[Valor]]*VLOOKUP(Tabla3_1[[#This Row],[añpo]],ipc!$A:$D,4,FALSE),Tabla3_1[[#This Row],[Valor]])</f>
        <v/>
      </c>
    </row>
    <row r="502">
      <c r="A502" t="n">
        <v>2014</v>
      </c>
      <c r="B502" t="inlineStr">
        <is>
          <t>pesos</t>
        </is>
      </c>
      <c r="C502" t="inlineStr">
        <is>
          <t>Organismos internacionales de crédito</t>
        </is>
      </c>
      <c r="E502">
        <f>IF(OR(Tabla3_1[[#This Row],[moneda]]="Total en ARS",Tabla3_1[[#This Row],[moneda]]="pesos"),Tabla3_1[[#This Row],[Valor]]*VLOOKUP(Tabla3_1[[#This Row],[añpo]],ipc!$A:$D,4,FALSE),Tabla3_1[[#This Row],[Valor]])</f>
        <v/>
      </c>
    </row>
    <row r="503">
      <c r="A503" t="n">
        <v>2014</v>
      </c>
      <c r="B503" t="inlineStr">
        <is>
          <t>pesos</t>
        </is>
      </c>
      <c r="C503" t="inlineStr">
        <is>
          <t>Garantías y/o avales</t>
        </is>
      </c>
      <c r="E503">
        <f>IF(OR(Tabla3_1[[#This Row],[moneda]]="Total en ARS",Tabla3_1[[#This Row],[moneda]]="pesos"),Tabla3_1[[#This Row],[Valor]]*VLOOKUP(Tabla3_1[[#This Row],[añpo]],ipc!$A:$D,4,FALSE),Tabla3_1[[#This Row],[Valor]])</f>
        <v/>
      </c>
    </row>
    <row r="504">
      <c r="A504" t="n">
        <v>2014</v>
      </c>
      <c r="B504" t="inlineStr">
        <is>
          <t>pesos</t>
        </is>
      </c>
      <c r="C504" t="inlineStr">
        <is>
          <t>Acuerdo OSPLAD</t>
        </is>
      </c>
      <c r="D504" t="n">
        <v>15.721</v>
      </c>
      <c r="E504">
        <f>IF(OR(Tabla3_1[[#This Row],[moneda]]="Total en ARS",Tabla3_1[[#This Row],[moneda]]="pesos"),Tabla3_1[[#This Row],[Valor]]*VLOOKUP(Tabla3_1[[#This Row],[añpo]],ipc!$A:$D,4,FALSE),Tabla3_1[[#This Row],[Valor]])</f>
        <v/>
      </c>
    </row>
    <row r="505">
      <c r="A505" t="n">
        <v>2014</v>
      </c>
      <c r="B505" t="inlineStr">
        <is>
          <t>pesos</t>
        </is>
      </c>
      <c r="C505" t="inlineStr">
        <is>
          <t>Préstamo ANSES - Ley 5603</t>
        </is>
      </c>
      <c r="E505">
        <f>IF(OR(Tabla3_1[[#This Row],[moneda]]="Total en ARS",Tabla3_1[[#This Row],[moneda]]="pesos"),Tabla3_1[[#This Row],[Valor]]*VLOOKUP(Tabla3_1[[#This Row],[añpo]],ipc!$A:$D,4,FALSE),Tabla3_1[[#This Row],[Valor]])</f>
        <v/>
      </c>
    </row>
    <row r="506">
      <c r="A506" t="n">
        <v>2014</v>
      </c>
      <c r="B506" t="inlineStr">
        <is>
          <t>dólares</t>
        </is>
      </c>
      <c r="C506" t="inlineStr">
        <is>
          <t>Proveedores y Contratistas</t>
        </is>
      </c>
      <c r="D506" t="n">
        <v>1937.3886</v>
      </c>
      <c r="E506">
        <f>IF(OR(Tabla3_1[[#This Row],[moneda]]="Total en ARS",Tabla3_1[[#This Row],[moneda]]="pesos"),Tabla3_1[[#This Row],[Valor]]*VLOOKUP(Tabla3_1[[#This Row],[añpo]],ipc!$A:$D,4,FALSE),Tabla3_1[[#This Row],[Valor]])</f>
        <v/>
      </c>
    </row>
    <row r="507">
      <c r="A507" t="n">
        <v>2014</v>
      </c>
      <c r="B507" t="inlineStr">
        <is>
          <t>dólares</t>
        </is>
      </c>
      <c r="C507" t="inlineStr">
        <is>
          <t>Deuda previsional</t>
        </is>
      </c>
      <c r="D507" t="n">
        <v>3.078</v>
      </c>
      <c r="E507">
        <f>IF(OR(Tabla3_1[[#This Row],[moneda]]="Total en ARS",Tabla3_1[[#This Row],[moneda]]="pesos"),Tabla3_1[[#This Row],[Valor]]*VLOOKUP(Tabla3_1[[#This Row],[añpo]],ipc!$A:$D,4,FALSE),Tabla3_1[[#This Row],[Valor]])</f>
        <v/>
      </c>
    </row>
    <row r="508">
      <c r="A508" t="n">
        <v>2014</v>
      </c>
      <c r="B508" t="inlineStr">
        <is>
          <t>dólares</t>
        </is>
      </c>
      <c r="C508" t="inlineStr">
        <is>
          <t>Títulos públicos</t>
        </is>
      </c>
      <c r="E508">
        <f>IF(OR(Tabla3_1[[#This Row],[moneda]]="Total en ARS",Tabla3_1[[#This Row],[moneda]]="pesos"),Tabla3_1[[#This Row],[Valor]]*VLOOKUP(Tabla3_1[[#This Row],[añpo]],ipc!$A:$D,4,FALSE),Tabla3_1[[#This Row],[Valor]])</f>
        <v/>
      </c>
    </row>
    <row r="509">
      <c r="A509" t="n">
        <v>2014</v>
      </c>
      <c r="B509" t="inlineStr">
        <is>
          <t>dólares</t>
        </is>
      </c>
      <c r="C509" t="inlineStr">
        <is>
          <t>Letras del Tesoro Ley 3395 art. 2</t>
        </is>
      </c>
      <c r="E509">
        <f>IF(OR(Tabla3_1[[#This Row],[moneda]]="Total en ARS",Tabla3_1[[#This Row],[moneda]]="pesos"),Tabla3_1[[#This Row],[Valor]]*VLOOKUP(Tabla3_1[[#This Row],[añpo]],ipc!$A:$D,4,FALSE),Tabla3_1[[#This Row],[Valor]])</f>
        <v/>
      </c>
    </row>
    <row r="510">
      <c r="A510" t="n">
        <v>2014</v>
      </c>
      <c r="B510" t="inlineStr">
        <is>
          <t>dólares</t>
        </is>
      </c>
      <c r="C510" t="inlineStr">
        <is>
          <t xml:space="preserve">Deuda financiera </t>
        </is>
      </c>
      <c r="E510">
        <f>IF(OR(Tabla3_1[[#This Row],[moneda]]="Total en ARS",Tabla3_1[[#This Row],[moneda]]="pesos"),Tabla3_1[[#This Row],[Valor]]*VLOOKUP(Tabla3_1[[#This Row],[añpo]],ipc!$A:$D,4,FALSE),Tabla3_1[[#This Row],[Valor]])</f>
        <v/>
      </c>
    </row>
    <row r="511">
      <c r="A511" t="n">
        <v>2014</v>
      </c>
      <c r="B511" t="inlineStr">
        <is>
          <t>dólares</t>
        </is>
      </c>
      <c r="C511" t="inlineStr">
        <is>
          <t>Organismos internacionales de crédito</t>
        </is>
      </c>
      <c r="D511" t="n">
        <v>83.75660000000001</v>
      </c>
      <c r="E511">
        <f>IF(OR(Tabla3_1[[#This Row],[moneda]]="Total en ARS",Tabla3_1[[#This Row],[moneda]]="pesos"),Tabla3_1[[#This Row],[Valor]]*VLOOKUP(Tabla3_1[[#This Row],[añpo]],ipc!$A:$D,4,FALSE),Tabla3_1[[#This Row],[Valor]])</f>
        <v/>
      </c>
    </row>
    <row r="512">
      <c r="A512" t="n">
        <v>2014</v>
      </c>
      <c r="B512" t="inlineStr">
        <is>
          <t>dólares</t>
        </is>
      </c>
      <c r="C512" t="inlineStr">
        <is>
          <t>Garantías y/o avales</t>
        </is>
      </c>
      <c r="E512">
        <f>IF(OR(Tabla3_1[[#This Row],[moneda]]="Total en ARS",Tabla3_1[[#This Row],[moneda]]="pesos"),Tabla3_1[[#This Row],[Valor]]*VLOOKUP(Tabla3_1[[#This Row],[añpo]],ipc!$A:$D,4,FALSE),Tabla3_1[[#This Row],[Valor]])</f>
        <v/>
      </c>
    </row>
    <row r="513">
      <c r="A513" t="n">
        <v>2014</v>
      </c>
      <c r="B513" t="inlineStr">
        <is>
          <t>dólares</t>
        </is>
      </c>
      <c r="C513" t="inlineStr">
        <is>
          <t>Acuerdo OSPLAD</t>
        </is>
      </c>
      <c r="E513">
        <f>IF(OR(Tabla3_1[[#This Row],[moneda]]="Total en ARS",Tabla3_1[[#This Row],[moneda]]="pesos"),Tabla3_1[[#This Row],[Valor]]*VLOOKUP(Tabla3_1[[#This Row],[añpo]],ipc!$A:$D,4,FALSE),Tabla3_1[[#This Row],[Valor]])</f>
        <v/>
      </c>
    </row>
    <row r="514">
      <c r="A514" t="n">
        <v>2014</v>
      </c>
      <c r="B514" t="inlineStr">
        <is>
          <t>dólares</t>
        </is>
      </c>
      <c r="C514" t="inlineStr">
        <is>
          <t>Préstamo ANSES - Ley 5603</t>
        </is>
      </c>
      <c r="E514">
        <f>IF(OR(Tabla3_1[[#This Row],[moneda]]="Total en ARS",Tabla3_1[[#This Row],[moneda]]="pesos"),Tabla3_1[[#This Row],[Valor]]*VLOOKUP(Tabla3_1[[#This Row],[añpo]],ipc!$A:$D,4,FALSE),Tabla3_1[[#This Row],[Valor]])</f>
        <v/>
      </c>
    </row>
    <row r="515">
      <c r="A515" t="n">
        <v>2014</v>
      </c>
      <c r="B515" t="inlineStr">
        <is>
          <t xml:space="preserve">  euros</t>
        </is>
      </c>
      <c r="C515" t="inlineStr">
        <is>
          <t>Proveedores y Contratistas</t>
        </is>
      </c>
      <c r="D515" t="n">
        <v>97.0158</v>
      </c>
      <c r="E515">
        <f>IF(OR(Tabla3_1[[#This Row],[moneda]]="Total en ARS",Tabla3_1[[#This Row],[moneda]]="pesos"),Tabla3_1[[#This Row],[Valor]]*VLOOKUP(Tabla3_1[[#This Row],[añpo]],ipc!$A:$D,4,FALSE),Tabla3_1[[#This Row],[Valor]])</f>
        <v/>
      </c>
    </row>
    <row r="516">
      <c r="A516" t="n">
        <v>2014</v>
      </c>
      <c r="B516" t="inlineStr">
        <is>
          <t xml:space="preserve">  euros</t>
        </is>
      </c>
      <c r="C516" t="inlineStr">
        <is>
          <t>Deuda previsional</t>
        </is>
      </c>
      <c r="E516">
        <f>IF(OR(Tabla3_1[[#This Row],[moneda]]="Total en ARS",Tabla3_1[[#This Row],[moneda]]="pesos"),Tabla3_1[[#This Row],[Valor]]*VLOOKUP(Tabla3_1[[#This Row],[añpo]],ipc!$A:$D,4,FALSE),Tabla3_1[[#This Row],[Valor]])</f>
        <v/>
      </c>
    </row>
    <row r="517">
      <c r="A517" t="n">
        <v>2014</v>
      </c>
      <c r="B517" t="inlineStr">
        <is>
          <t xml:space="preserve">  euros</t>
        </is>
      </c>
      <c r="C517" t="inlineStr">
        <is>
          <t>Títulos públicos</t>
        </is>
      </c>
      <c r="E517">
        <f>IF(OR(Tabla3_1[[#This Row],[moneda]]="Total en ARS",Tabla3_1[[#This Row],[moneda]]="pesos"),Tabla3_1[[#This Row],[Valor]]*VLOOKUP(Tabla3_1[[#This Row],[añpo]],ipc!$A:$D,4,FALSE),Tabla3_1[[#This Row],[Valor]])</f>
        <v/>
      </c>
    </row>
    <row r="518">
      <c r="A518" t="n">
        <v>2014</v>
      </c>
      <c r="B518" t="inlineStr">
        <is>
          <t xml:space="preserve">  euros</t>
        </is>
      </c>
      <c r="C518" t="inlineStr">
        <is>
          <t>Letras del Tesoro Ley 3395 art. 2</t>
        </is>
      </c>
      <c r="E518">
        <f>IF(OR(Tabla3_1[[#This Row],[moneda]]="Total en ARS",Tabla3_1[[#This Row],[moneda]]="pesos"),Tabla3_1[[#This Row],[Valor]]*VLOOKUP(Tabla3_1[[#This Row],[añpo]],ipc!$A:$D,4,FALSE),Tabla3_1[[#This Row],[Valor]])</f>
        <v/>
      </c>
    </row>
    <row r="519">
      <c r="A519" t="n">
        <v>2014</v>
      </c>
      <c r="B519" t="inlineStr">
        <is>
          <t xml:space="preserve">  euros</t>
        </is>
      </c>
      <c r="C519" t="inlineStr">
        <is>
          <t xml:space="preserve">Deuda financiera </t>
        </is>
      </c>
      <c r="E519">
        <f>IF(OR(Tabla3_1[[#This Row],[moneda]]="Total en ARS",Tabla3_1[[#This Row],[moneda]]="pesos"),Tabla3_1[[#This Row],[Valor]]*VLOOKUP(Tabla3_1[[#This Row],[añpo]],ipc!$A:$D,4,FALSE),Tabla3_1[[#This Row],[Valor]])</f>
        <v/>
      </c>
    </row>
    <row r="520">
      <c r="A520" t="n">
        <v>2014</v>
      </c>
      <c r="B520" t="inlineStr">
        <is>
          <t xml:space="preserve">  euros</t>
        </is>
      </c>
      <c r="C520" t="inlineStr">
        <is>
          <t>Organismos internacionales de crédito</t>
        </is>
      </c>
      <c r="D520" t="n">
        <v>97.0158</v>
      </c>
      <c r="E520">
        <f>IF(OR(Tabla3_1[[#This Row],[moneda]]="Total en ARS",Tabla3_1[[#This Row],[moneda]]="pesos"),Tabla3_1[[#This Row],[Valor]]*VLOOKUP(Tabla3_1[[#This Row],[añpo]],ipc!$A:$D,4,FALSE),Tabla3_1[[#This Row],[Valor]])</f>
        <v/>
      </c>
    </row>
    <row r="521">
      <c r="A521" t="n">
        <v>2014</v>
      </c>
      <c r="B521" t="inlineStr">
        <is>
          <t xml:space="preserve">  euros</t>
        </is>
      </c>
      <c r="C521" t="inlineStr">
        <is>
          <t>Garantías y/o avales</t>
        </is>
      </c>
      <c r="E521">
        <f>IF(OR(Tabla3_1[[#This Row],[moneda]]="Total en ARS",Tabla3_1[[#This Row],[moneda]]="pesos"),Tabla3_1[[#This Row],[Valor]]*VLOOKUP(Tabla3_1[[#This Row],[añpo]],ipc!$A:$D,4,FALSE),Tabla3_1[[#This Row],[Valor]])</f>
        <v/>
      </c>
    </row>
    <row r="522">
      <c r="A522" t="n">
        <v>2014</v>
      </c>
      <c r="B522" t="inlineStr">
        <is>
          <t xml:space="preserve">  euros</t>
        </is>
      </c>
      <c r="C522" t="inlineStr">
        <is>
          <t>Acuerdo OSPLAD</t>
        </is>
      </c>
      <c r="E522">
        <f>IF(OR(Tabla3_1[[#This Row],[moneda]]="Total en ARS",Tabla3_1[[#This Row],[moneda]]="pesos"),Tabla3_1[[#This Row],[Valor]]*VLOOKUP(Tabla3_1[[#This Row],[añpo]],ipc!$A:$D,4,FALSE),Tabla3_1[[#This Row],[Valor]])</f>
        <v/>
      </c>
    </row>
    <row r="523">
      <c r="A523" t="n">
        <v>2014</v>
      </c>
      <c r="B523" t="inlineStr">
        <is>
          <t xml:space="preserve">  euros</t>
        </is>
      </c>
      <c r="C523" t="inlineStr">
        <is>
          <t>Préstamo ANSES - Ley 5603</t>
        </is>
      </c>
      <c r="E523">
        <f>IF(OR(Tabla3_1[[#This Row],[moneda]]="Total en ARS",Tabla3_1[[#This Row],[moneda]]="pesos"),Tabla3_1[[#This Row],[Valor]]*VLOOKUP(Tabla3_1[[#This Row],[añpo]],ipc!$A:$D,4,FALSE),Tabla3_1[[#This Row],[Valor]])</f>
        <v/>
      </c>
    </row>
    <row r="524">
      <c r="A524" t="n">
        <v>2015</v>
      </c>
      <c r="B524" t="inlineStr">
        <is>
          <t>Total en ARS</t>
        </is>
      </c>
      <c r="C524" t="inlineStr">
        <is>
          <t>Proveedores y Contratistas</t>
        </is>
      </c>
      <c r="D524" t="n">
        <v>42764.078473</v>
      </c>
      <c r="E524">
        <f>IF(OR(Tabla3_1[[#This Row],[moneda]]="Total en ARS",Tabla3_1[[#This Row],[moneda]]="pesos"),Tabla3_1[[#This Row],[Valor]]*VLOOKUP(Tabla3_1[[#This Row],[añpo]],ipc!$A:$D,4,FALSE),Tabla3_1[[#This Row],[Valor]])</f>
        <v/>
      </c>
    </row>
    <row r="525">
      <c r="A525" t="n">
        <v>2015</v>
      </c>
      <c r="B525" t="inlineStr">
        <is>
          <t>Total en ARS</t>
        </is>
      </c>
      <c r="C525" t="inlineStr">
        <is>
          <t>Deuda previsional</t>
        </is>
      </c>
      <c r="D525" t="n">
        <v>9793.849600000001</v>
      </c>
      <c r="E525">
        <f>IF(OR(Tabla3_1[[#This Row],[moneda]]="Total en ARS",Tabla3_1[[#This Row],[moneda]]="pesos"),Tabla3_1[[#This Row],[Valor]]*VLOOKUP(Tabla3_1[[#This Row],[añpo]],ipc!$A:$D,4,FALSE),Tabla3_1[[#This Row],[Valor]])</f>
        <v/>
      </c>
    </row>
    <row r="526">
      <c r="A526" t="n">
        <v>2015</v>
      </c>
      <c r="B526" t="inlineStr">
        <is>
          <t>Total en ARS</t>
        </is>
      </c>
      <c r="C526" t="inlineStr">
        <is>
          <t>Títulos públicos</t>
        </is>
      </c>
      <c r="D526" t="n">
        <v>32.83</v>
      </c>
      <c r="E526">
        <f>IF(OR(Tabla3_1[[#This Row],[moneda]]="Total en ARS",Tabla3_1[[#This Row],[moneda]]="pesos"),Tabla3_1[[#This Row],[Valor]]*VLOOKUP(Tabla3_1[[#This Row],[añpo]],ipc!$A:$D,4,FALSE),Tabla3_1[[#This Row],[Valor]])</f>
        <v/>
      </c>
    </row>
    <row r="527">
      <c r="A527" t="n">
        <v>2015</v>
      </c>
      <c r="B527" t="inlineStr">
        <is>
          <t>Total en ARS</t>
        </is>
      </c>
      <c r="C527" t="inlineStr">
        <is>
          <t>Letras del Tesoro Ley 3395 art. 2</t>
        </is>
      </c>
      <c r="D527" t="n">
        <v>2446.01</v>
      </c>
      <c r="E527">
        <f>IF(OR(Tabla3_1[[#This Row],[moneda]]="Total en ARS",Tabla3_1[[#This Row],[moneda]]="pesos"),Tabla3_1[[#This Row],[Valor]]*VLOOKUP(Tabla3_1[[#This Row],[añpo]],ipc!$A:$D,4,FALSE),Tabla3_1[[#This Row],[Valor]])</f>
        <v/>
      </c>
    </row>
    <row r="528">
      <c r="A528" t="n">
        <v>2015</v>
      </c>
      <c r="B528" t="inlineStr">
        <is>
          <t>Total en ARS</t>
        </is>
      </c>
      <c r="C528" t="inlineStr">
        <is>
          <t xml:space="preserve">Deuda financiera </t>
        </is>
      </c>
      <c r="D528" t="n">
        <v>0</v>
      </c>
      <c r="E528">
        <f>IF(OR(Tabla3_1[[#This Row],[moneda]]="Total en ARS",Tabla3_1[[#This Row],[moneda]]="pesos"),Tabla3_1[[#This Row],[Valor]]*VLOOKUP(Tabla3_1[[#This Row],[añpo]],ipc!$A:$D,4,FALSE),Tabla3_1[[#This Row],[Valor]])</f>
        <v/>
      </c>
    </row>
    <row r="529">
      <c r="A529" t="n">
        <v>2015</v>
      </c>
      <c r="B529" t="inlineStr">
        <is>
          <t>Total en ARS</t>
        </is>
      </c>
      <c r="C529" t="inlineStr">
        <is>
          <t>Organismos internacionales de crédito</t>
        </is>
      </c>
      <c r="D529" t="n">
        <v>2587.404073</v>
      </c>
      <c r="E529">
        <f>IF(OR(Tabla3_1[[#This Row],[moneda]]="Total en ARS",Tabla3_1[[#This Row],[moneda]]="pesos"),Tabla3_1[[#This Row],[Valor]]*VLOOKUP(Tabla3_1[[#This Row],[añpo]],ipc!$A:$D,4,FALSE),Tabla3_1[[#This Row],[Valor]])</f>
        <v/>
      </c>
    </row>
    <row r="530">
      <c r="A530" t="n">
        <v>2015</v>
      </c>
      <c r="B530" t="inlineStr">
        <is>
          <t>Total en ARS</t>
        </is>
      </c>
      <c r="C530" t="inlineStr">
        <is>
          <t>Garantías y/o avales</t>
        </is>
      </c>
      <c r="D530" t="n">
        <v>1712.5432</v>
      </c>
      <c r="E530">
        <f>IF(OR(Tabla3_1[[#This Row],[moneda]]="Total en ARS",Tabla3_1[[#This Row],[moneda]]="pesos"),Tabla3_1[[#This Row],[Valor]]*VLOOKUP(Tabla3_1[[#This Row],[añpo]],ipc!$A:$D,4,FALSE),Tabla3_1[[#This Row],[Valor]])</f>
        <v/>
      </c>
    </row>
    <row r="531">
      <c r="A531" t="n">
        <v>2015</v>
      </c>
      <c r="B531" t="inlineStr">
        <is>
          <t>Total en ARS</t>
        </is>
      </c>
      <c r="C531" t="inlineStr">
        <is>
          <t>Acuerdo OSPLAD</t>
        </is>
      </c>
      <c r="E531">
        <f>IF(OR(Tabla3_1[[#This Row],[moneda]]="Total en ARS",Tabla3_1[[#This Row],[moneda]]="pesos"),Tabla3_1[[#This Row],[Valor]]*VLOOKUP(Tabla3_1[[#This Row],[añpo]],ipc!$A:$D,4,FALSE),Tabla3_1[[#This Row],[Valor]])</f>
        <v/>
      </c>
    </row>
    <row r="532">
      <c r="A532" t="n">
        <v>2015</v>
      </c>
      <c r="B532" t="inlineStr">
        <is>
          <t>Total en ARS</t>
        </is>
      </c>
      <c r="C532" t="inlineStr">
        <is>
          <t>Préstamo ANSES - Ley 5603</t>
        </is>
      </c>
      <c r="E532">
        <f>IF(OR(Tabla3_1[[#This Row],[moneda]]="Total en ARS",Tabla3_1[[#This Row],[moneda]]="pesos"),Tabla3_1[[#This Row],[Valor]]*VLOOKUP(Tabla3_1[[#This Row],[añpo]],ipc!$A:$D,4,FALSE),Tabla3_1[[#This Row],[Valor]])</f>
        <v/>
      </c>
    </row>
    <row r="533">
      <c r="A533" t="n">
        <v>2015</v>
      </c>
      <c r="B533" t="inlineStr">
        <is>
          <t>pesos</t>
        </is>
      </c>
      <c r="C533" t="inlineStr">
        <is>
          <t>Proveedores y Contratistas</t>
        </is>
      </c>
      <c r="D533" t="n">
        <v>13482.36</v>
      </c>
      <c r="E533">
        <f>IF(OR(Tabla3_1[[#This Row],[moneda]]="Total en ARS",Tabla3_1[[#This Row],[moneda]]="pesos"),Tabla3_1[[#This Row],[Valor]]*VLOOKUP(Tabla3_1[[#This Row],[añpo]],ipc!$A:$D,4,FALSE),Tabla3_1[[#This Row],[Valor]])</f>
        <v/>
      </c>
    </row>
    <row r="534">
      <c r="A534" t="n">
        <v>2015</v>
      </c>
      <c r="B534" t="inlineStr">
        <is>
          <t>pesos</t>
        </is>
      </c>
      <c r="C534" t="inlineStr">
        <is>
          <t>Deuda previsional</t>
        </is>
      </c>
      <c r="D534" t="n">
        <v>9787.460000000001</v>
      </c>
      <c r="E534">
        <f>IF(OR(Tabla3_1[[#This Row],[moneda]]="Total en ARS",Tabla3_1[[#This Row],[moneda]]="pesos"),Tabla3_1[[#This Row],[Valor]]*VLOOKUP(Tabla3_1[[#This Row],[añpo]],ipc!$A:$D,4,FALSE),Tabla3_1[[#This Row],[Valor]])</f>
        <v/>
      </c>
    </row>
    <row r="535">
      <c r="A535" t="n">
        <v>2015</v>
      </c>
      <c r="B535" t="inlineStr">
        <is>
          <t>pesos</t>
        </is>
      </c>
      <c r="C535" t="inlineStr">
        <is>
          <t>Títulos públicos</t>
        </is>
      </c>
      <c r="D535" t="n">
        <v>32.83</v>
      </c>
      <c r="E535">
        <f>IF(OR(Tabla3_1[[#This Row],[moneda]]="Total en ARS",Tabla3_1[[#This Row],[moneda]]="pesos"),Tabla3_1[[#This Row],[Valor]]*VLOOKUP(Tabla3_1[[#This Row],[añpo]],ipc!$A:$D,4,FALSE),Tabla3_1[[#This Row],[Valor]])</f>
        <v/>
      </c>
    </row>
    <row r="536">
      <c r="A536" t="n">
        <v>2015</v>
      </c>
      <c r="B536" t="inlineStr">
        <is>
          <t>pesos</t>
        </is>
      </c>
      <c r="C536" t="inlineStr">
        <is>
          <t>Letras del Tesoro Ley 3395 art. 2</t>
        </is>
      </c>
      <c r="D536" t="n">
        <v>2446.01</v>
      </c>
      <c r="E536">
        <f>IF(OR(Tabla3_1[[#This Row],[moneda]]="Total en ARS",Tabla3_1[[#This Row],[moneda]]="pesos"),Tabla3_1[[#This Row],[Valor]]*VLOOKUP(Tabla3_1[[#This Row],[añpo]],ipc!$A:$D,4,FALSE),Tabla3_1[[#This Row],[Valor]])</f>
        <v/>
      </c>
    </row>
    <row r="537">
      <c r="A537" t="n">
        <v>2015</v>
      </c>
      <c r="B537" t="inlineStr">
        <is>
          <t>pesos</t>
        </is>
      </c>
      <c r="C537" t="inlineStr">
        <is>
          <t xml:space="preserve">Deuda financiera </t>
        </is>
      </c>
      <c r="E537">
        <f>IF(OR(Tabla3_1[[#This Row],[moneda]]="Total en ARS",Tabla3_1[[#This Row],[moneda]]="pesos"),Tabla3_1[[#This Row],[Valor]]*VLOOKUP(Tabla3_1[[#This Row],[añpo]],ipc!$A:$D,4,FALSE),Tabla3_1[[#This Row],[Valor]])</f>
        <v/>
      </c>
    </row>
    <row r="538">
      <c r="A538" t="n">
        <v>2015</v>
      </c>
      <c r="B538" t="inlineStr">
        <is>
          <t>pesos</t>
        </is>
      </c>
      <c r="C538" t="inlineStr">
        <is>
          <t>Organismos internacionales de crédito</t>
        </is>
      </c>
      <c r="E538">
        <f>IF(OR(Tabla3_1[[#This Row],[moneda]]="Total en ARS",Tabla3_1[[#This Row],[moneda]]="pesos"),Tabla3_1[[#This Row],[Valor]]*VLOOKUP(Tabla3_1[[#This Row],[añpo]],ipc!$A:$D,4,FALSE),Tabla3_1[[#This Row],[Valor]])</f>
        <v/>
      </c>
    </row>
    <row r="539">
      <c r="A539" t="n">
        <v>2015</v>
      </c>
      <c r="B539" t="inlineStr">
        <is>
          <t>pesos</t>
        </is>
      </c>
      <c r="C539" t="inlineStr">
        <is>
          <t>Garantías y/o avales</t>
        </is>
      </c>
      <c r="E539">
        <f>IF(OR(Tabla3_1[[#This Row],[moneda]]="Total en ARS",Tabla3_1[[#This Row],[moneda]]="pesos"),Tabla3_1[[#This Row],[Valor]]*VLOOKUP(Tabla3_1[[#This Row],[añpo]],ipc!$A:$D,4,FALSE),Tabla3_1[[#This Row],[Valor]])</f>
        <v/>
      </c>
    </row>
    <row r="540">
      <c r="A540" t="n">
        <v>2015</v>
      </c>
      <c r="B540" t="inlineStr">
        <is>
          <t>pesos</t>
        </is>
      </c>
      <c r="C540" t="inlineStr">
        <is>
          <t>Acuerdo OSPLAD</t>
        </is>
      </c>
      <c r="E540">
        <f>IF(OR(Tabla3_1[[#This Row],[moneda]]="Total en ARS",Tabla3_1[[#This Row],[moneda]]="pesos"),Tabla3_1[[#This Row],[Valor]]*VLOOKUP(Tabla3_1[[#This Row],[añpo]],ipc!$A:$D,4,FALSE),Tabla3_1[[#This Row],[Valor]])</f>
        <v/>
      </c>
    </row>
    <row r="541">
      <c r="A541" t="n">
        <v>2015</v>
      </c>
      <c r="B541" t="inlineStr">
        <is>
          <t>pesos</t>
        </is>
      </c>
      <c r="C541" t="inlineStr">
        <is>
          <t>Préstamo ANSES - Ley 5603</t>
        </is>
      </c>
      <c r="E541">
        <f>IF(OR(Tabla3_1[[#This Row],[moneda]]="Total en ARS",Tabla3_1[[#This Row],[moneda]]="pesos"),Tabla3_1[[#This Row],[Valor]]*VLOOKUP(Tabla3_1[[#This Row],[añpo]],ipc!$A:$D,4,FALSE),Tabla3_1[[#This Row],[Valor]])</f>
        <v/>
      </c>
    </row>
    <row r="542">
      <c r="A542" t="n">
        <v>2015</v>
      </c>
      <c r="B542" t="inlineStr">
        <is>
          <t>dólares</t>
        </is>
      </c>
      <c r="C542" t="inlineStr">
        <is>
          <t>Proveedores y Contratistas</t>
        </is>
      </c>
      <c r="D542" t="n">
        <v>2145.18</v>
      </c>
      <c r="E542">
        <f>IF(OR(Tabla3_1[[#This Row],[moneda]]="Total en ARS",Tabla3_1[[#This Row],[moneda]]="pesos"),Tabla3_1[[#This Row],[Valor]]*VLOOKUP(Tabla3_1[[#This Row],[añpo]],ipc!$A:$D,4,FALSE),Tabla3_1[[#This Row],[Valor]])</f>
        <v/>
      </c>
    </row>
    <row r="543">
      <c r="A543" t="n">
        <v>2015</v>
      </c>
      <c r="B543" t="inlineStr">
        <is>
          <t>dólares</t>
        </is>
      </c>
      <c r="C543" t="inlineStr">
        <is>
          <t>Deuda previsional</t>
        </is>
      </c>
      <c r="D543" t="n">
        <v>0.49</v>
      </c>
      <c r="E543">
        <f>IF(OR(Tabla3_1[[#This Row],[moneda]]="Total en ARS",Tabla3_1[[#This Row],[moneda]]="pesos"),Tabla3_1[[#This Row],[Valor]]*VLOOKUP(Tabla3_1[[#This Row],[añpo]],ipc!$A:$D,4,FALSE),Tabla3_1[[#This Row],[Valor]])</f>
        <v/>
      </c>
    </row>
    <row r="544">
      <c r="A544" t="n">
        <v>2015</v>
      </c>
      <c r="B544" t="inlineStr">
        <is>
          <t>dólares</t>
        </is>
      </c>
      <c r="C544" t="inlineStr">
        <is>
          <t>Títulos públicos</t>
        </is>
      </c>
      <c r="E544">
        <f>IF(OR(Tabla3_1[[#This Row],[moneda]]="Total en ARS",Tabla3_1[[#This Row],[moneda]]="pesos"),Tabla3_1[[#This Row],[Valor]]*VLOOKUP(Tabla3_1[[#This Row],[añpo]],ipc!$A:$D,4,FALSE),Tabla3_1[[#This Row],[Valor]])</f>
        <v/>
      </c>
    </row>
    <row r="545">
      <c r="A545" t="n">
        <v>2015</v>
      </c>
      <c r="B545" t="inlineStr">
        <is>
          <t>dólares</t>
        </is>
      </c>
      <c r="C545" t="inlineStr">
        <is>
          <t>Letras del Tesoro Ley 3395 art. 2</t>
        </is>
      </c>
      <c r="E545">
        <f>IF(OR(Tabla3_1[[#This Row],[moneda]]="Total en ARS",Tabla3_1[[#This Row],[moneda]]="pesos"),Tabla3_1[[#This Row],[Valor]]*VLOOKUP(Tabla3_1[[#This Row],[añpo]],ipc!$A:$D,4,FALSE),Tabla3_1[[#This Row],[Valor]])</f>
        <v/>
      </c>
    </row>
    <row r="546">
      <c r="A546" t="n">
        <v>2015</v>
      </c>
      <c r="B546" t="inlineStr">
        <is>
          <t>dólares</t>
        </is>
      </c>
      <c r="C546" t="inlineStr">
        <is>
          <t xml:space="preserve">Deuda financiera </t>
        </is>
      </c>
      <c r="E546">
        <f>IF(OR(Tabla3_1[[#This Row],[moneda]]="Total en ARS",Tabla3_1[[#This Row],[moneda]]="pesos"),Tabla3_1[[#This Row],[Valor]]*VLOOKUP(Tabla3_1[[#This Row],[añpo]],ipc!$A:$D,4,FALSE),Tabla3_1[[#This Row],[Valor]])</f>
        <v/>
      </c>
    </row>
    <row r="547">
      <c r="A547" t="n">
        <v>2015</v>
      </c>
      <c r="B547" t="inlineStr">
        <is>
          <t>dólares</t>
        </is>
      </c>
      <c r="C547" t="inlineStr">
        <is>
          <t>Organismos internacionales de crédito</t>
        </is>
      </c>
      <c r="D547" t="n">
        <v>98.06999999999999</v>
      </c>
      <c r="E547">
        <f>IF(OR(Tabla3_1[[#This Row],[moneda]]="Total en ARS",Tabla3_1[[#This Row],[moneda]]="pesos"),Tabla3_1[[#This Row],[Valor]]*VLOOKUP(Tabla3_1[[#This Row],[añpo]],ipc!$A:$D,4,FALSE),Tabla3_1[[#This Row],[Valor]])</f>
        <v/>
      </c>
    </row>
    <row r="548">
      <c r="A548" t="n">
        <v>2015</v>
      </c>
      <c r="B548" t="inlineStr">
        <is>
          <t>dólares</t>
        </is>
      </c>
      <c r="C548" t="inlineStr">
        <is>
          <t>Garantías y/o avales</t>
        </is>
      </c>
      <c r="D548" t="n">
        <v>131.33</v>
      </c>
      <c r="E548">
        <f>IF(OR(Tabla3_1[[#This Row],[moneda]]="Total en ARS",Tabla3_1[[#This Row],[moneda]]="pesos"),Tabla3_1[[#This Row],[Valor]]*VLOOKUP(Tabla3_1[[#This Row],[añpo]],ipc!$A:$D,4,FALSE),Tabla3_1[[#This Row],[Valor]])</f>
        <v/>
      </c>
    </row>
    <row r="549">
      <c r="A549" t="n">
        <v>2015</v>
      </c>
      <c r="B549" t="inlineStr">
        <is>
          <t>dólares</t>
        </is>
      </c>
      <c r="C549" t="inlineStr">
        <is>
          <t>Acuerdo OSPLAD</t>
        </is>
      </c>
      <c r="E549">
        <f>IF(OR(Tabla3_1[[#This Row],[moneda]]="Total en ARS",Tabla3_1[[#This Row],[moneda]]="pesos"),Tabla3_1[[#This Row],[Valor]]*VLOOKUP(Tabla3_1[[#This Row],[añpo]],ipc!$A:$D,4,FALSE),Tabla3_1[[#This Row],[Valor]])</f>
        <v/>
      </c>
    </row>
    <row r="550">
      <c r="A550" t="n">
        <v>2015</v>
      </c>
      <c r="B550" t="inlineStr">
        <is>
          <t>dólares</t>
        </is>
      </c>
      <c r="C550" t="inlineStr">
        <is>
          <t>Préstamo ANSES - Ley 5603</t>
        </is>
      </c>
      <c r="E550">
        <f>IF(OR(Tabla3_1[[#This Row],[moneda]]="Total en ARS",Tabla3_1[[#This Row],[moneda]]="pesos"),Tabla3_1[[#This Row],[Valor]]*VLOOKUP(Tabla3_1[[#This Row],[añpo]],ipc!$A:$D,4,FALSE),Tabla3_1[[#This Row],[Valor]])</f>
        <v/>
      </c>
    </row>
    <row r="551">
      <c r="A551" t="n">
        <v>2015</v>
      </c>
      <c r="B551" t="inlineStr">
        <is>
          <t xml:space="preserve">  euros</t>
        </is>
      </c>
      <c r="C551" t="inlineStr">
        <is>
          <t>Proveedores y Contratistas</t>
        </is>
      </c>
      <c r="D551" t="n">
        <v>92.09</v>
      </c>
      <c r="E551">
        <f>IF(OR(Tabla3_1[[#This Row],[moneda]]="Total en ARS",Tabla3_1[[#This Row],[moneda]]="pesos"),Tabla3_1[[#This Row],[Valor]]*VLOOKUP(Tabla3_1[[#This Row],[añpo]],ipc!$A:$D,4,FALSE),Tabla3_1[[#This Row],[Valor]])</f>
        <v/>
      </c>
    </row>
    <row r="552">
      <c r="A552" t="n">
        <v>2015</v>
      </c>
      <c r="B552" t="inlineStr">
        <is>
          <t xml:space="preserve">  euros</t>
        </is>
      </c>
      <c r="C552" t="inlineStr">
        <is>
          <t>Deuda previsional</t>
        </is>
      </c>
      <c r="E552">
        <f>IF(OR(Tabla3_1[[#This Row],[moneda]]="Total en ARS",Tabla3_1[[#This Row],[moneda]]="pesos"),Tabla3_1[[#This Row],[Valor]]*VLOOKUP(Tabla3_1[[#This Row],[añpo]],ipc!$A:$D,4,FALSE),Tabla3_1[[#This Row],[Valor]])</f>
        <v/>
      </c>
    </row>
    <row r="553">
      <c r="A553" t="n">
        <v>2015</v>
      </c>
      <c r="B553" t="inlineStr">
        <is>
          <t xml:space="preserve">  euros</t>
        </is>
      </c>
      <c r="C553" t="inlineStr">
        <is>
          <t>Títulos públicos</t>
        </is>
      </c>
      <c r="E553">
        <f>IF(OR(Tabla3_1[[#This Row],[moneda]]="Total en ARS",Tabla3_1[[#This Row],[moneda]]="pesos"),Tabla3_1[[#This Row],[Valor]]*VLOOKUP(Tabla3_1[[#This Row],[añpo]],ipc!$A:$D,4,FALSE),Tabla3_1[[#This Row],[Valor]])</f>
        <v/>
      </c>
    </row>
    <row r="554">
      <c r="A554" t="n">
        <v>2015</v>
      </c>
      <c r="B554" t="inlineStr">
        <is>
          <t xml:space="preserve">  euros</t>
        </is>
      </c>
      <c r="C554" t="inlineStr">
        <is>
          <t>Letras del Tesoro Ley 3395 art. 2</t>
        </is>
      </c>
      <c r="E554">
        <f>IF(OR(Tabla3_1[[#This Row],[moneda]]="Total en ARS",Tabla3_1[[#This Row],[moneda]]="pesos"),Tabla3_1[[#This Row],[Valor]]*VLOOKUP(Tabla3_1[[#This Row],[añpo]],ipc!$A:$D,4,FALSE),Tabla3_1[[#This Row],[Valor]])</f>
        <v/>
      </c>
    </row>
    <row r="555">
      <c r="A555" t="n">
        <v>2015</v>
      </c>
      <c r="B555" t="inlineStr">
        <is>
          <t xml:space="preserve">  euros</t>
        </is>
      </c>
      <c r="C555" t="inlineStr">
        <is>
          <t xml:space="preserve">Deuda financiera </t>
        </is>
      </c>
      <c r="E555">
        <f>IF(OR(Tabla3_1[[#This Row],[moneda]]="Total en ARS",Tabla3_1[[#This Row],[moneda]]="pesos"),Tabla3_1[[#This Row],[Valor]]*VLOOKUP(Tabla3_1[[#This Row],[añpo]],ipc!$A:$D,4,FALSE),Tabla3_1[[#This Row],[Valor]])</f>
        <v/>
      </c>
    </row>
    <row r="556">
      <c r="A556" t="n">
        <v>2015</v>
      </c>
      <c r="B556" t="inlineStr">
        <is>
          <t xml:space="preserve">  euros</t>
        </is>
      </c>
      <c r="C556" t="inlineStr">
        <is>
          <t>Organismos internacionales de crédito</t>
        </is>
      </c>
      <c r="D556" t="n">
        <v>92.09</v>
      </c>
      <c r="E556">
        <f>IF(OR(Tabla3_1[[#This Row],[moneda]]="Total en ARS",Tabla3_1[[#This Row],[moneda]]="pesos"),Tabla3_1[[#This Row],[Valor]]*VLOOKUP(Tabla3_1[[#This Row],[añpo]],ipc!$A:$D,4,FALSE),Tabla3_1[[#This Row],[Valor]])</f>
        <v/>
      </c>
    </row>
    <row r="557">
      <c r="A557" t="n">
        <v>2015</v>
      </c>
      <c r="B557" t="inlineStr">
        <is>
          <t xml:space="preserve">  euros</t>
        </is>
      </c>
      <c r="C557" t="inlineStr">
        <is>
          <t>Garantías y/o avales</t>
        </is>
      </c>
      <c r="E557">
        <f>IF(OR(Tabla3_1[[#This Row],[moneda]]="Total en ARS",Tabla3_1[[#This Row],[moneda]]="pesos"),Tabla3_1[[#This Row],[Valor]]*VLOOKUP(Tabla3_1[[#This Row],[añpo]],ipc!$A:$D,4,FALSE),Tabla3_1[[#This Row],[Valor]])</f>
        <v/>
      </c>
    </row>
    <row r="558">
      <c r="A558" t="n">
        <v>2015</v>
      </c>
      <c r="B558" t="inlineStr">
        <is>
          <t xml:space="preserve">  euros</t>
        </is>
      </c>
      <c r="C558" t="inlineStr">
        <is>
          <t>Acuerdo OSPLAD</t>
        </is>
      </c>
      <c r="E558">
        <f>IF(OR(Tabla3_1[[#This Row],[moneda]]="Total en ARS",Tabla3_1[[#This Row],[moneda]]="pesos"),Tabla3_1[[#This Row],[Valor]]*VLOOKUP(Tabla3_1[[#This Row],[añpo]],ipc!$A:$D,4,FALSE),Tabla3_1[[#This Row],[Valor]])</f>
        <v/>
      </c>
    </row>
    <row r="559">
      <c r="A559" t="n">
        <v>2015</v>
      </c>
      <c r="B559" t="inlineStr">
        <is>
          <t xml:space="preserve">  euros</t>
        </is>
      </c>
      <c r="C559" t="inlineStr">
        <is>
          <t>Préstamo ANSES - Ley 5603</t>
        </is>
      </c>
      <c r="E559">
        <f>IF(OR(Tabla3_1[[#This Row],[moneda]]="Total en ARS",Tabla3_1[[#This Row],[moneda]]="pesos"),Tabla3_1[[#This Row],[Valor]]*VLOOKUP(Tabla3_1[[#This Row],[añpo]],ipc!$A:$D,4,FALSE),Tabla3_1[[#This Row],[Valor]])</f>
        <v/>
      </c>
    </row>
    <row r="560">
      <c r="A560" t="n">
        <v>2016</v>
      </c>
      <c r="B560" t="inlineStr">
        <is>
          <t>Total en ARS</t>
        </is>
      </c>
      <c r="C560" t="inlineStr">
        <is>
          <t>Proveedores y Contratistas</t>
        </is>
      </c>
      <c r="D560" t="n">
        <v>71481.53397400002</v>
      </c>
      <c r="E560">
        <f>IF(OR(Tabla3_1[[#This Row],[moneda]]="Total en ARS",Tabla3_1[[#This Row],[moneda]]="pesos"),Tabla3_1[[#This Row],[Valor]]*VLOOKUP(Tabla3_1[[#This Row],[añpo]],ipc!$A:$D,4,FALSE),Tabla3_1[[#This Row],[Valor]])</f>
        <v/>
      </c>
    </row>
    <row r="561">
      <c r="A561" t="n">
        <v>2016</v>
      </c>
      <c r="B561" t="inlineStr">
        <is>
          <t>Total en ARS</t>
        </is>
      </c>
      <c r="C561" t="inlineStr">
        <is>
          <t>Deuda previsional</t>
        </is>
      </c>
      <c r="D561" t="n">
        <v>21985.208076</v>
      </c>
      <c r="E561">
        <f>IF(OR(Tabla3_1[[#This Row],[moneda]]="Total en ARS",Tabla3_1[[#This Row],[moneda]]="pesos"),Tabla3_1[[#This Row],[Valor]]*VLOOKUP(Tabla3_1[[#This Row],[añpo]],ipc!$A:$D,4,FALSE),Tabla3_1[[#This Row],[Valor]])</f>
        <v/>
      </c>
    </row>
    <row r="562">
      <c r="A562" t="n">
        <v>2016</v>
      </c>
      <c r="B562" t="inlineStr">
        <is>
          <t>Total en ARS</t>
        </is>
      </c>
      <c r="C562" t="inlineStr">
        <is>
          <t>Títulos públicos</t>
        </is>
      </c>
      <c r="D562" t="n">
        <v>32.8</v>
      </c>
      <c r="E562">
        <f>IF(OR(Tabla3_1[[#This Row],[moneda]]="Total en ARS",Tabla3_1[[#This Row],[moneda]]="pesos"),Tabla3_1[[#This Row],[Valor]]*VLOOKUP(Tabla3_1[[#This Row],[añpo]],ipc!$A:$D,4,FALSE),Tabla3_1[[#This Row],[Valor]])</f>
        <v/>
      </c>
    </row>
    <row r="563">
      <c r="A563" t="n">
        <v>2016</v>
      </c>
      <c r="B563" t="inlineStr">
        <is>
          <t>Total en ARS</t>
        </is>
      </c>
      <c r="C563" t="inlineStr">
        <is>
          <t>Letras del Tesoro Ley 3395 art. 2</t>
        </is>
      </c>
      <c r="D563" t="n">
        <v>2107.9</v>
      </c>
      <c r="E563">
        <f>IF(OR(Tabla3_1[[#This Row],[moneda]]="Total en ARS",Tabla3_1[[#This Row],[moneda]]="pesos"),Tabla3_1[[#This Row],[Valor]]*VLOOKUP(Tabla3_1[[#This Row],[añpo]],ipc!$A:$D,4,FALSE),Tabla3_1[[#This Row],[Valor]])</f>
        <v/>
      </c>
    </row>
    <row r="564">
      <c r="A564" t="n">
        <v>2016</v>
      </c>
      <c r="B564" t="inlineStr">
        <is>
          <t>Total en ARS</t>
        </is>
      </c>
      <c r="C564" t="inlineStr">
        <is>
          <t xml:space="preserve">Deuda financiera </t>
        </is>
      </c>
      <c r="E564">
        <f>IF(OR(Tabla3_1[[#This Row],[moneda]]="Total en ARS",Tabla3_1[[#This Row],[moneda]]="pesos"),Tabla3_1[[#This Row],[Valor]]*VLOOKUP(Tabla3_1[[#This Row],[añpo]],ipc!$A:$D,4,FALSE),Tabla3_1[[#This Row],[Valor]])</f>
        <v/>
      </c>
    </row>
    <row r="565">
      <c r="A565" t="n">
        <v>2016</v>
      </c>
      <c r="B565" t="inlineStr">
        <is>
          <t>Total en ARS</t>
        </is>
      </c>
      <c r="C565" t="inlineStr">
        <is>
          <t>Organismos internacionales de crédito</t>
        </is>
      </c>
      <c r="D565" t="n">
        <v>3904.2</v>
      </c>
      <c r="E565">
        <f>IF(OR(Tabla3_1[[#This Row],[moneda]]="Total en ARS",Tabla3_1[[#This Row],[moneda]]="pesos"),Tabla3_1[[#This Row],[Valor]]*VLOOKUP(Tabla3_1[[#This Row],[añpo]],ipc!$A:$D,4,FALSE),Tabla3_1[[#This Row],[Valor]])</f>
        <v/>
      </c>
    </row>
    <row r="566">
      <c r="A566" t="n">
        <v>2016</v>
      </c>
      <c r="B566" t="inlineStr">
        <is>
          <t>Total en ARS</t>
        </is>
      </c>
      <c r="C566" t="inlineStr">
        <is>
          <t>Garantías y/o avales</t>
        </is>
      </c>
      <c r="D566" t="n">
        <v>2060.8</v>
      </c>
      <c r="E566">
        <f>IF(OR(Tabla3_1[[#This Row],[moneda]]="Total en ARS",Tabla3_1[[#This Row],[moneda]]="pesos"),Tabla3_1[[#This Row],[Valor]]*VLOOKUP(Tabla3_1[[#This Row],[añpo]],ipc!$A:$D,4,FALSE),Tabla3_1[[#This Row],[Valor]])</f>
        <v/>
      </c>
    </row>
    <row r="567">
      <c r="A567" t="n">
        <v>2016</v>
      </c>
      <c r="B567" t="inlineStr">
        <is>
          <t>Total en ARS</t>
        </is>
      </c>
      <c r="C567" t="inlineStr">
        <is>
          <t>Acuerdo OSPLAD</t>
        </is>
      </c>
      <c r="E567">
        <f>IF(OR(Tabla3_1[[#This Row],[moneda]]="Total en ARS",Tabla3_1[[#This Row],[moneda]]="pesos"),Tabla3_1[[#This Row],[Valor]]*VLOOKUP(Tabla3_1[[#This Row],[añpo]],ipc!$A:$D,4,FALSE),Tabla3_1[[#This Row],[Valor]])</f>
        <v/>
      </c>
    </row>
    <row r="568">
      <c r="A568" t="n">
        <v>2016</v>
      </c>
      <c r="B568" t="inlineStr">
        <is>
          <t>Total en ARS</t>
        </is>
      </c>
      <c r="C568" t="inlineStr">
        <is>
          <t>Préstamo ANSES - Ley 5603</t>
        </is>
      </c>
      <c r="D568" t="n">
        <v>1960.35</v>
      </c>
      <c r="E568">
        <f>IF(OR(Tabla3_1[[#This Row],[moneda]]="Total en ARS",Tabla3_1[[#This Row],[moneda]]="pesos"),Tabla3_1[[#This Row],[Valor]]*VLOOKUP(Tabla3_1[[#This Row],[añpo]],ipc!$A:$D,4,FALSE),Tabla3_1[[#This Row],[Valor]])</f>
        <v/>
      </c>
    </row>
    <row r="569">
      <c r="A569" t="n">
        <v>2016</v>
      </c>
      <c r="B569" t="inlineStr">
        <is>
          <t>pesos</t>
        </is>
      </c>
      <c r="C569" t="inlineStr">
        <is>
          <t>Proveedores y Contratistas</t>
        </is>
      </c>
      <c r="D569" t="n">
        <v>30608.838</v>
      </c>
      <c r="E569">
        <f>IF(OR(Tabla3_1[[#This Row],[moneda]]="Total en ARS",Tabla3_1[[#This Row],[moneda]]="pesos"),Tabla3_1[[#This Row],[Valor]]*VLOOKUP(Tabla3_1[[#This Row],[añpo]],ipc!$A:$D,4,FALSE),Tabla3_1[[#This Row],[Valor]])</f>
        <v/>
      </c>
    </row>
    <row r="570">
      <c r="A570" t="n">
        <v>2016</v>
      </c>
      <c r="B570" t="inlineStr">
        <is>
          <t>pesos</t>
        </is>
      </c>
      <c r="C570" t="inlineStr">
        <is>
          <t>Deuda previsional</t>
        </is>
      </c>
      <c r="D570" t="n">
        <v>21982.85</v>
      </c>
      <c r="E570">
        <f>IF(OR(Tabla3_1[[#This Row],[moneda]]="Total en ARS",Tabla3_1[[#This Row],[moneda]]="pesos"),Tabla3_1[[#This Row],[Valor]]*VLOOKUP(Tabla3_1[[#This Row],[añpo]],ipc!$A:$D,4,FALSE),Tabla3_1[[#This Row],[Valor]])</f>
        <v/>
      </c>
    </row>
    <row r="571">
      <c r="A571" t="n">
        <v>2016</v>
      </c>
      <c r="B571" t="inlineStr">
        <is>
          <t>pesos</t>
        </is>
      </c>
      <c r="C571" t="inlineStr">
        <is>
          <t>Títulos públicos</t>
        </is>
      </c>
      <c r="D571" t="n">
        <v>32.8</v>
      </c>
      <c r="E571">
        <f>IF(OR(Tabla3_1[[#This Row],[moneda]]="Total en ARS",Tabla3_1[[#This Row],[moneda]]="pesos"),Tabla3_1[[#This Row],[Valor]]*VLOOKUP(Tabla3_1[[#This Row],[añpo]],ipc!$A:$D,4,FALSE),Tabla3_1[[#This Row],[Valor]])</f>
        <v/>
      </c>
    </row>
    <row r="572">
      <c r="A572" t="n">
        <v>2016</v>
      </c>
      <c r="B572" t="inlineStr">
        <is>
          <t>pesos</t>
        </is>
      </c>
      <c r="C572" t="inlineStr">
        <is>
          <t>Letras del Tesoro Ley 3395 art. 2</t>
        </is>
      </c>
      <c r="D572" t="n">
        <v>2107.9</v>
      </c>
      <c r="E572">
        <f>IF(OR(Tabla3_1[[#This Row],[moneda]]="Total en ARS",Tabla3_1[[#This Row],[moneda]]="pesos"),Tabla3_1[[#This Row],[Valor]]*VLOOKUP(Tabla3_1[[#This Row],[añpo]],ipc!$A:$D,4,FALSE),Tabla3_1[[#This Row],[Valor]])</f>
        <v/>
      </c>
    </row>
    <row r="573">
      <c r="A573" t="n">
        <v>2016</v>
      </c>
      <c r="B573" t="inlineStr">
        <is>
          <t>pesos</t>
        </is>
      </c>
      <c r="C573" t="inlineStr">
        <is>
          <t xml:space="preserve">Deuda financiera </t>
        </is>
      </c>
      <c r="E573">
        <f>IF(OR(Tabla3_1[[#This Row],[moneda]]="Total en ARS",Tabla3_1[[#This Row],[moneda]]="pesos"),Tabla3_1[[#This Row],[Valor]]*VLOOKUP(Tabla3_1[[#This Row],[añpo]],ipc!$A:$D,4,FALSE),Tabla3_1[[#This Row],[Valor]])</f>
        <v/>
      </c>
    </row>
    <row r="574">
      <c r="A574" t="n">
        <v>2016</v>
      </c>
      <c r="B574" t="inlineStr">
        <is>
          <t>pesos</t>
        </is>
      </c>
      <c r="C574" t="inlineStr">
        <is>
          <t>Organismos internacionales de crédito</t>
        </is>
      </c>
      <c r="E574">
        <f>IF(OR(Tabla3_1[[#This Row],[moneda]]="Total en ARS",Tabla3_1[[#This Row],[moneda]]="pesos"),Tabla3_1[[#This Row],[Valor]]*VLOOKUP(Tabla3_1[[#This Row],[añpo]],ipc!$A:$D,4,FALSE),Tabla3_1[[#This Row],[Valor]])</f>
        <v/>
      </c>
    </row>
    <row r="575">
      <c r="A575" t="n">
        <v>2016</v>
      </c>
      <c r="B575" t="inlineStr">
        <is>
          <t>pesos</t>
        </is>
      </c>
      <c r="C575" t="inlineStr">
        <is>
          <t>Garantías y/o avales</t>
        </is>
      </c>
      <c r="D575" t="n">
        <v>129.7</v>
      </c>
      <c r="E575">
        <f>IF(OR(Tabla3_1[[#This Row],[moneda]]="Total en ARS",Tabla3_1[[#This Row],[moneda]]="pesos"),Tabla3_1[[#This Row],[Valor]]*VLOOKUP(Tabla3_1[[#This Row],[añpo]],ipc!$A:$D,4,FALSE),Tabla3_1[[#This Row],[Valor]])</f>
        <v/>
      </c>
    </row>
    <row r="576">
      <c r="A576" t="n">
        <v>2016</v>
      </c>
      <c r="B576" t="inlineStr">
        <is>
          <t>pesos</t>
        </is>
      </c>
      <c r="C576" t="inlineStr">
        <is>
          <t>Acuerdo OSPLAD</t>
        </is>
      </c>
      <c r="E576">
        <f>IF(OR(Tabla3_1[[#This Row],[moneda]]="Total en ARS",Tabla3_1[[#This Row],[moneda]]="pesos"),Tabla3_1[[#This Row],[Valor]]*VLOOKUP(Tabla3_1[[#This Row],[añpo]],ipc!$A:$D,4,FALSE),Tabla3_1[[#This Row],[Valor]])</f>
        <v/>
      </c>
    </row>
    <row r="577">
      <c r="A577" t="n">
        <v>2016</v>
      </c>
      <c r="B577" t="inlineStr">
        <is>
          <t>pesos</t>
        </is>
      </c>
      <c r="C577" t="inlineStr">
        <is>
          <t>Préstamo ANSES - Ley 5603</t>
        </is>
      </c>
      <c r="D577" t="n">
        <v>1960.35</v>
      </c>
      <c r="E577">
        <f>IF(OR(Tabla3_1[[#This Row],[moneda]]="Total en ARS",Tabla3_1[[#This Row],[moneda]]="pesos"),Tabla3_1[[#This Row],[Valor]]*VLOOKUP(Tabla3_1[[#This Row],[añpo]],ipc!$A:$D,4,FALSE),Tabla3_1[[#This Row],[Valor]])</f>
        <v/>
      </c>
    </row>
    <row r="578">
      <c r="A578" t="n">
        <v>2016</v>
      </c>
      <c r="B578" t="inlineStr">
        <is>
          <t>dólares</t>
        </is>
      </c>
      <c r="C578" t="inlineStr">
        <is>
          <t>Proveedores y Contratistas</t>
        </is>
      </c>
      <c r="D578" t="n">
        <v>2368.0966</v>
      </c>
      <c r="E578">
        <f>IF(OR(Tabla3_1[[#This Row],[moneda]]="Total en ARS",Tabla3_1[[#This Row],[moneda]]="pesos"),Tabla3_1[[#This Row],[Valor]]*VLOOKUP(Tabla3_1[[#This Row],[añpo]],ipc!$A:$D,4,FALSE),Tabla3_1[[#This Row],[Valor]])</f>
        <v/>
      </c>
    </row>
    <row r="579">
      <c r="A579" t="n">
        <v>2016</v>
      </c>
      <c r="B579" t="inlineStr">
        <is>
          <t>dólares</t>
        </is>
      </c>
      <c r="C579" t="inlineStr">
        <is>
          <t>Deuda previsional</t>
        </is>
      </c>
      <c r="D579" t="n">
        <v>0.1484</v>
      </c>
      <c r="E579">
        <f>IF(OR(Tabla3_1[[#This Row],[moneda]]="Total en ARS",Tabla3_1[[#This Row],[moneda]]="pesos"),Tabla3_1[[#This Row],[Valor]]*VLOOKUP(Tabla3_1[[#This Row],[añpo]],ipc!$A:$D,4,FALSE),Tabla3_1[[#This Row],[Valor]])</f>
        <v/>
      </c>
    </row>
    <row r="580">
      <c r="A580" t="n">
        <v>2016</v>
      </c>
      <c r="B580" t="inlineStr">
        <is>
          <t>dólares</t>
        </is>
      </c>
      <c r="C580" t="inlineStr">
        <is>
          <t>Títulos públicos</t>
        </is>
      </c>
      <c r="E580">
        <f>IF(OR(Tabla3_1[[#This Row],[moneda]]="Total en ARS",Tabla3_1[[#This Row],[moneda]]="pesos"),Tabla3_1[[#This Row],[Valor]]*VLOOKUP(Tabla3_1[[#This Row],[añpo]],ipc!$A:$D,4,FALSE),Tabla3_1[[#This Row],[Valor]])</f>
        <v/>
      </c>
    </row>
    <row r="581">
      <c r="A581" t="n">
        <v>2016</v>
      </c>
      <c r="B581" t="inlineStr">
        <is>
          <t>dólares</t>
        </is>
      </c>
      <c r="C581" t="inlineStr">
        <is>
          <t>Letras del Tesoro Ley 3395 art. 2</t>
        </is>
      </c>
      <c r="E581">
        <f>IF(OR(Tabla3_1[[#This Row],[moneda]]="Total en ARS",Tabla3_1[[#This Row],[moneda]]="pesos"),Tabla3_1[[#This Row],[Valor]]*VLOOKUP(Tabla3_1[[#This Row],[añpo]],ipc!$A:$D,4,FALSE),Tabla3_1[[#This Row],[Valor]])</f>
        <v/>
      </c>
    </row>
    <row r="582">
      <c r="A582" t="n">
        <v>2016</v>
      </c>
      <c r="B582" t="inlineStr">
        <is>
          <t>dólares</t>
        </is>
      </c>
      <c r="C582" t="inlineStr">
        <is>
          <t xml:space="preserve">Deuda financiera </t>
        </is>
      </c>
      <c r="E582">
        <f>IF(OR(Tabla3_1[[#This Row],[moneda]]="Total en ARS",Tabla3_1[[#This Row],[moneda]]="pesos"),Tabla3_1[[#This Row],[Valor]]*VLOOKUP(Tabla3_1[[#This Row],[añpo]],ipc!$A:$D,4,FALSE),Tabla3_1[[#This Row],[Valor]])</f>
        <v/>
      </c>
    </row>
    <row r="583">
      <c r="A583" t="n">
        <v>2016</v>
      </c>
      <c r="B583" t="inlineStr">
        <is>
          <t>dólares</t>
        </is>
      </c>
      <c r="C583" t="inlineStr">
        <is>
          <t>Organismos internacionales de crédito</t>
        </is>
      </c>
      <c r="D583" t="n">
        <v>163.1</v>
      </c>
      <c r="E583">
        <f>IF(OR(Tabla3_1[[#This Row],[moneda]]="Total en ARS",Tabla3_1[[#This Row],[moneda]]="pesos"),Tabla3_1[[#This Row],[Valor]]*VLOOKUP(Tabla3_1[[#This Row],[añpo]],ipc!$A:$D,4,FALSE),Tabla3_1[[#This Row],[Valor]])</f>
        <v/>
      </c>
    </row>
    <row r="584">
      <c r="A584" t="n">
        <v>2016</v>
      </c>
      <c r="B584" t="inlineStr">
        <is>
          <t>dólares</t>
        </is>
      </c>
      <c r="C584" t="inlineStr">
        <is>
          <t>Garantías y/o avales</t>
        </is>
      </c>
      <c r="E584">
        <f>IF(OR(Tabla3_1[[#This Row],[moneda]]="Total en ARS",Tabla3_1[[#This Row],[moneda]]="pesos"),Tabla3_1[[#This Row],[Valor]]*VLOOKUP(Tabla3_1[[#This Row],[añpo]],ipc!$A:$D,4,FALSE),Tabla3_1[[#This Row],[Valor]])</f>
        <v/>
      </c>
    </row>
    <row r="585">
      <c r="A585" t="n">
        <v>2016</v>
      </c>
      <c r="B585" t="inlineStr">
        <is>
          <t>dólares</t>
        </is>
      </c>
      <c r="C585" t="inlineStr">
        <is>
          <t>Acuerdo OSPLAD</t>
        </is>
      </c>
      <c r="E585">
        <f>IF(OR(Tabla3_1[[#This Row],[moneda]]="Total en ARS",Tabla3_1[[#This Row],[moneda]]="pesos"),Tabla3_1[[#This Row],[Valor]]*VLOOKUP(Tabla3_1[[#This Row],[añpo]],ipc!$A:$D,4,FALSE),Tabla3_1[[#This Row],[Valor]])</f>
        <v/>
      </c>
    </row>
    <row r="586">
      <c r="A586" t="n">
        <v>2016</v>
      </c>
      <c r="B586" t="inlineStr">
        <is>
          <t>dólares</t>
        </is>
      </c>
      <c r="C586" t="inlineStr">
        <is>
          <t>Préstamo ANSES - Ley 5603</t>
        </is>
      </c>
      <c r="E586">
        <f>IF(OR(Tabla3_1[[#This Row],[moneda]]="Total en ARS",Tabla3_1[[#This Row],[moneda]]="pesos"),Tabla3_1[[#This Row],[Valor]]*VLOOKUP(Tabla3_1[[#This Row],[añpo]],ipc!$A:$D,4,FALSE),Tabla3_1[[#This Row],[Valor]])</f>
        <v/>
      </c>
    </row>
    <row r="587">
      <c r="A587" t="n">
        <v>2016</v>
      </c>
      <c r="B587" t="inlineStr">
        <is>
          <t xml:space="preserve">  euros</t>
        </is>
      </c>
      <c r="C587" t="inlineStr">
        <is>
          <t>Proveedores y Contratistas</t>
        </is>
      </c>
      <c r="D587" t="n">
        <v>78.3</v>
      </c>
      <c r="E587">
        <f>IF(OR(Tabla3_1[[#This Row],[moneda]]="Total en ARS",Tabla3_1[[#This Row],[moneda]]="pesos"),Tabla3_1[[#This Row],[Valor]]*VLOOKUP(Tabla3_1[[#This Row],[añpo]],ipc!$A:$D,4,FALSE),Tabla3_1[[#This Row],[Valor]])</f>
        <v/>
      </c>
    </row>
    <row r="588">
      <c r="A588" t="n">
        <v>2016</v>
      </c>
      <c r="B588" t="inlineStr">
        <is>
          <t xml:space="preserve">  euros</t>
        </is>
      </c>
      <c r="C588" t="inlineStr">
        <is>
          <t>Deuda previsional</t>
        </is>
      </c>
      <c r="E588">
        <f>IF(OR(Tabla3_1[[#This Row],[moneda]]="Total en ARS",Tabla3_1[[#This Row],[moneda]]="pesos"),Tabla3_1[[#This Row],[Valor]]*VLOOKUP(Tabla3_1[[#This Row],[añpo]],ipc!$A:$D,4,FALSE),Tabla3_1[[#This Row],[Valor]])</f>
        <v/>
      </c>
    </row>
    <row r="589">
      <c r="A589" t="n">
        <v>2016</v>
      </c>
      <c r="B589" t="inlineStr">
        <is>
          <t xml:space="preserve">  euros</t>
        </is>
      </c>
      <c r="C589" t="inlineStr">
        <is>
          <t>Títulos públicos</t>
        </is>
      </c>
      <c r="E589">
        <f>IF(OR(Tabla3_1[[#This Row],[moneda]]="Total en ARS",Tabla3_1[[#This Row],[moneda]]="pesos"),Tabla3_1[[#This Row],[Valor]]*VLOOKUP(Tabla3_1[[#This Row],[añpo]],ipc!$A:$D,4,FALSE),Tabla3_1[[#This Row],[Valor]])</f>
        <v/>
      </c>
    </row>
    <row r="590">
      <c r="A590" t="n">
        <v>2016</v>
      </c>
      <c r="B590" t="inlineStr">
        <is>
          <t xml:space="preserve">  euros</t>
        </is>
      </c>
      <c r="C590" t="inlineStr">
        <is>
          <t>Letras del Tesoro Ley 3395 art. 2</t>
        </is>
      </c>
      <c r="E590">
        <f>IF(OR(Tabla3_1[[#This Row],[moneda]]="Total en ARS",Tabla3_1[[#This Row],[moneda]]="pesos"),Tabla3_1[[#This Row],[Valor]]*VLOOKUP(Tabla3_1[[#This Row],[añpo]],ipc!$A:$D,4,FALSE),Tabla3_1[[#This Row],[Valor]])</f>
        <v/>
      </c>
    </row>
    <row r="591">
      <c r="A591" t="n">
        <v>2016</v>
      </c>
      <c r="B591" t="inlineStr">
        <is>
          <t xml:space="preserve">  euros</t>
        </is>
      </c>
      <c r="C591" t="inlineStr">
        <is>
          <t xml:space="preserve">Deuda financiera </t>
        </is>
      </c>
      <c r="E591">
        <f>IF(OR(Tabla3_1[[#This Row],[moneda]]="Total en ARS",Tabla3_1[[#This Row],[moneda]]="pesos"),Tabla3_1[[#This Row],[Valor]]*VLOOKUP(Tabla3_1[[#This Row],[añpo]],ipc!$A:$D,4,FALSE),Tabla3_1[[#This Row],[Valor]])</f>
        <v/>
      </c>
    </row>
    <row r="592">
      <c r="A592" t="n">
        <v>2016</v>
      </c>
      <c r="B592" t="inlineStr">
        <is>
          <t xml:space="preserve">  euros</t>
        </is>
      </c>
      <c r="C592" t="inlineStr">
        <is>
          <t>Organismos internacionales de crédito</t>
        </is>
      </c>
      <c r="D592" t="n">
        <v>78.3</v>
      </c>
      <c r="E592">
        <f>IF(OR(Tabla3_1[[#This Row],[moneda]]="Total en ARS",Tabla3_1[[#This Row],[moneda]]="pesos"),Tabla3_1[[#This Row],[Valor]]*VLOOKUP(Tabla3_1[[#This Row],[añpo]],ipc!$A:$D,4,FALSE),Tabla3_1[[#This Row],[Valor]])</f>
        <v/>
      </c>
    </row>
    <row r="593">
      <c r="A593" t="n">
        <v>2016</v>
      </c>
      <c r="B593" t="inlineStr">
        <is>
          <t xml:space="preserve">  euros</t>
        </is>
      </c>
      <c r="C593" t="inlineStr">
        <is>
          <t>Garantías y/o avales</t>
        </is>
      </c>
      <c r="E593">
        <f>IF(OR(Tabla3_1[[#This Row],[moneda]]="Total en ARS",Tabla3_1[[#This Row],[moneda]]="pesos"),Tabla3_1[[#This Row],[Valor]]*VLOOKUP(Tabla3_1[[#This Row],[añpo]],ipc!$A:$D,4,FALSE),Tabla3_1[[#This Row],[Valor]])</f>
        <v/>
      </c>
    </row>
    <row r="594">
      <c r="A594" t="n">
        <v>2016</v>
      </c>
      <c r="B594" t="inlineStr">
        <is>
          <t xml:space="preserve">  euros</t>
        </is>
      </c>
      <c r="C594" t="inlineStr">
        <is>
          <t>Acuerdo OSPLAD</t>
        </is>
      </c>
      <c r="E594">
        <f>IF(OR(Tabla3_1[[#This Row],[moneda]]="Total en ARS",Tabla3_1[[#This Row],[moneda]]="pesos"),Tabla3_1[[#This Row],[Valor]]*VLOOKUP(Tabla3_1[[#This Row],[añpo]],ipc!$A:$D,4,FALSE),Tabla3_1[[#This Row],[Valor]])</f>
        <v/>
      </c>
    </row>
    <row r="595">
      <c r="A595" t="n">
        <v>2016</v>
      </c>
      <c r="B595" t="inlineStr">
        <is>
          <t xml:space="preserve">  euros</t>
        </is>
      </c>
      <c r="C595" t="inlineStr">
        <is>
          <t>Préstamo ANSES - Ley 5603</t>
        </is>
      </c>
      <c r="E595">
        <f>IF(OR(Tabla3_1[[#This Row],[moneda]]="Total en ARS",Tabla3_1[[#This Row],[moneda]]="pesos"),Tabla3_1[[#This Row],[Valor]]*VLOOKUP(Tabla3_1[[#This Row],[añpo]],ipc!$A:$D,4,FALSE),Tabla3_1[[#This Row],[Valor]])</f>
        <v/>
      </c>
    </row>
    <row r="596">
      <c r="A596" t="n">
        <v>2017</v>
      </c>
      <c r="B596" t="inlineStr">
        <is>
          <t>Total en ARS</t>
        </is>
      </c>
      <c r="C596" t="inlineStr">
        <is>
          <t>Proveedores y Contratistas</t>
        </is>
      </c>
      <c r="D596" t="n">
        <v>94209.94008099999</v>
      </c>
      <c r="E596">
        <f>IF(OR(Tabla3_1[[#This Row],[moneda]]="Total en ARS",Tabla3_1[[#This Row],[moneda]]="pesos"),Tabla3_1[[#This Row],[Valor]]*VLOOKUP(Tabla3_1[[#This Row],[añpo]],ipc!$A:$D,4,FALSE),Tabla3_1[[#This Row],[Valor]])</f>
        <v/>
      </c>
    </row>
    <row r="597">
      <c r="A597" t="n">
        <v>2017</v>
      </c>
      <c r="B597" t="inlineStr">
        <is>
          <t>Total en ARS</t>
        </is>
      </c>
      <c r="C597" t="inlineStr">
        <is>
          <t>Deuda previsional</t>
        </is>
      </c>
      <c r="D597" t="n">
        <v>24439.0599</v>
      </c>
      <c r="E597">
        <f>IF(OR(Tabla3_1[[#This Row],[moneda]]="Total en ARS",Tabla3_1[[#This Row],[moneda]]="pesos"),Tabla3_1[[#This Row],[Valor]]*VLOOKUP(Tabla3_1[[#This Row],[añpo]],ipc!$A:$D,4,FALSE),Tabla3_1[[#This Row],[Valor]])</f>
        <v/>
      </c>
    </row>
    <row r="598">
      <c r="A598" t="n">
        <v>2017</v>
      </c>
      <c r="B598" t="inlineStr">
        <is>
          <t>Total en ARS</t>
        </is>
      </c>
      <c r="C598" t="inlineStr">
        <is>
          <t>Títulos públicos</t>
        </is>
      </c>
      <c r="D598" t="n">
        <v>32.8</v>
      </c>
      <c r="E598">
        <f>IF(OR(Tabla3_1[[#This Row],[moneda]]="Total en ARS",Tabla3_1[[#This Row],[moneda]]="pesos"),Tabla3_1[[#This Row],[Valor]]*VLOOKUP(Tabla3_1[[#This Row],[añpo]],ipc!$A:$D,4,FALSE),Tabla3_1[[#This Row],[Valor]])</f>
        <v/>
      </c>
    </row>
    <row r="599">
      <c r="A599" t="n">
        <v>2017</v>
      </c>
      <c r="B599" t="inlineStr">
        <is>
          <t>Total en ARS</t>
        </is>
      </c>
      <c r="C599" t="inlineStr">
        <is>
          <t>Letras del Tesoro Ley 3395 art. 2</t>
        </is>
      </c>
      <c r="D599" t="n">
        <v>3916.4239</v>
      </c>
      <c r="E599">
        <f>IF(OR(Tabla3_1[[#This Row],[moneda]]="Total en ARS",Tabla3_1[[#This Row],[moneda]]="pesos"),Tabla3_1[[#This Row],[Valor]]*VLOOKUP(Tabla3_1[[#This Row],[añpo]],ipc!$A:$D,4,FALSE),Tabla3_1[[#This Row],[Valor]])</f>
        <v/>
      </c>
    </row>
    <row r="600">
      <c r="A600" t="n">
        <v>2017</v>
      </c>
      <c r="B600" t="inlineStr">
        <is>
          <t>Total en ARS</t>
        </is>
      </c>
      <c r="C600" t="inlineStr">
        <is>
          <t xml:space="preserve">Deuda financiera </t>
        </is>
      </c>
      <c r="E600">
        <f>IF(OR(Tabla3_1[[#This Row],[moneda]]="Total en ARS",Tabla3_1[[#This Row],[moneda]]="pesos"),Tabla3_1[[#This Row],[Valor]]*VLOOKUP(Tabla3_1[[#This Row],[añpo]],ipc!$A:$D,4,FALSE),Tabla3_1[[#This Row],[Valor]])</f>
        <v/>
      </c>
    </row>
    <row r="601">
      <c r="A601" t="n">
        <v>2017</v>
      </c>
      <c r="B601" t="inlineStr">
        <is>
          <t>Total en ARS</t>
        </is>
      </c>
      <c r="C601" t="inlineStr">
        <is>
          <t>Organismos internacionales de crédito</t>
        </is>
      </c>
      <c r="D601" t="n">
        <v>6335.5826</v>
      </c>
      <c r="E601">
        <f>IF(OR(Tabla3_1[[#This Row],[moneda]]="Total en ARS",Tabla3_1[[#This Row],[moneda]]="pesos"),Tabla3_1[[#This Row],[Valor]]*VLOOKUP(Tabla3_1[[#This Row],[añpo]],ipc!$A:$D,4,FALSE),Tabla3_1[[#This Row],[Valor]])</f>
        <v/>
      </c>
    </row>
    <row r="602">
      <c r="A602" t="n">
        <v>2017</v>
      </c>
      <c r="B602" t="inlineStr">
        <is>
          <t>Total en ARS</t>
        </is>
      </c>
      <c r="C602" t="inlineStr">
        <is>
          <t>Garantías y/o avales</t>
        </is>
      </c>
      <c r="D602" t="n">
        <v>3943.685381</v>
      </c>
      <c r="E602">
        <f>IF(OR(Tabla3_1[[#This Row],[moneda]]="Total en ARS",Tabla3_1[[#This Row],[moneda]]="pesos"),Tabla3_1[[#This Row],[Valor]]*VLOOKUP(Tabla3_1[[#This Row],[añpo]],ipc!$A:$D,4,FALSE),Tabla3_1[[#This Row],[Valor]])</f>
        <v/>
      </c>
    </row>
    <row r="603">
      <c r="A603" t="n">
        <v>2017</v>
      </c>
      <c r="B603" t="inlineStr">
        <is>
          <t>Total en ARS</t>
        </is>
      </c>
      <c r="C603" t="inlineStr">
        <is>
          <t>Acuerdo OSPLAD</t>
        </is>
      </c>
      <c r="E603">
        <f>IF(OR(Tabla3_1[[#This Row],[moneda]]="Total en ARS",Tabla3_1[[#This Row],[moneda]]="pesos"),Tabla3_1[[#This Row],[Valor]]*VLOOKUP(Tabla3_1[[#This Row],[añpo]],ipc!$A:$D,4,FALSE),Tabla3_1[[#This Row],[Valor]])</f>
        <v/>
      </c>
    </row>
    <row r="604">
      <c r="A604" t="n">
        <v>2017</v>
      </c>
      <c r="B604" t="inlineStr">
        <is>
          <t>Total en ARS</t>
        </is>
      </c>
      <c r="C604" t="inlineStr">
        <is>
          <t>Préstamo ANSES - Ley 5603</t>
        </is>
      </c>
      <c r="D604" t="n">
        <v>3284.1278</v>
      </c>
      <c r="E604">
        <f>IF(OR(Tabla3_1[[#This Row],[moneda]]="Total en ARS",Tabla3_1[[#This Row],[moneda]]="pesos"),Tabla3_1[[#This Row],[Valor]]*VLOOKUP(Tabla3_1[[#This Row],[añpo]],ipc!$A:$D,4,FALSE),Tabla3_1[[#This Row],[Valor]])</f>
        <v/>
      </c>
    </row>
    <row r="605">
      <c r="A605" t="n">
        <v>2017</v>
      </c>
      <c r="B605" t="inlineStr">
        <is>
          <t>pesos</t>
        </is>
      </c>
      <c r="C605" t="inlineStr">
        <is>
          <t>Proveedores y Contratistas</t>
        </is>
      </c>
      <c r="D605" t="n">
        <v>54820.3806</v>
      </c>
      <c r="E605">
        <f>IF(OR(Tabla3_1[[#This Row],[moneda]]="Total en ARS",Tabla3_1[[#This Row],[moneda]]="pesos"),Tabla3_1[[#This Row],[Valor]]*VLOOKUP(Tabla3_1[[#This Row],[añpo]],ipc!$A:$D,4,FALSE),Tabla3_1[[#This Row],[Valor]])</f>
        <v/>
      </c>
    </row>
    <row r="606">
      <c r="A606" t="n">
        <v>2017</v>
      </c>
      <c r="B606" t="inlineStr">
        <is>
          <t>pesos</t>
        </is>
      </c>
      <c r="C606" t="inlineStr">
        <is>
          <t>Deuda previsional</t>
        </is>
      </c>
      <c r="D606" t="n">
        <v>24439.0599</v>
      </c>
      <c r="E606">
        <f>IF(OR(Tabla3_1[[#This Row],[moneda]]="Total en ARS",Tabla3_1[[#This Row],[moneda]]="pesos"),Tabla3_1[[#This Row],[Valor]]*VLOOKUP(Tabla3_1[[#This Row],[añpo]],ipc!$A:$D,4,FALSE),Tabla3_1[[#This Row],[Valor]])</f>
        <v/>
      </c>
    </row>
    <row r="607">
      <c r="A607" t="n">
        <v>2017</v>
      </c>
      <c r="B607" t="inlineStr">
        <is>
          <t>pesos</t>
        </is>
      </c>
      <c r="C607" t="inlineStr">
        <is>
          <t>Títulos públicos</t>
        </is>
      </c>
      <c r="D607" t="n">
        <v>32.8</v>
      </c>
      <c r="E607">
        <f>IF(OR(Tabla3_1[[#This Row],[moneda]]="Total en ARS",Tabla3_1[[#This Row],[moneda]]="pesos"),Tabla3_1[[#This Row],[Valor]]*VLOOKUP(Tabla3_1[[#This Row],[añpo]],ipc!$A:$D,4,FALSE),Tabla3_1[[#This Row],[Valor]])</f>
        <v/>
      </c>
    </row>
    <row r="608">
      <c r="A608" t="n">
        <v>2017</v>
      </c>
      <c r="B608" t="inlineStr">
        <is>
          <t>pesos</t>
        </is>
      </c>
      <c r="C608" t="inlineStr">
        <is>
          <t>Letras del Tesoro Ley 3395 art. 2</t>
        </is>
      </c>
      <c r="D608" t="n">
        <v>3916.4239</v>
      </c>
      <c r="E608">
        <f>IF(OR(Tabla3_1[[#This Row],[moneda]]="Total en ARS",Tabla3_1[[#This Row],[moneda]]="pesos"),Tabla3_1[[#This Row],[Valor]]*VLOOKUP(Tabla3_1[[#This Row],[añpo]],ipc!$A:$D,4,FALSE),Tabla3_1[[#This Row],[Valor]])</f>
        <v/>
      </c>
    </row>
    <row r="609">
      <c r="A609" t="n">
        <v>2017</v>
      </c>
      <c r="B609" t="inlineStr">
        <is>
          <t>pesos</t>
        </is>
      </c>
      <c r="C609" t="inlineStr">
        <is>
          <t xml:space="preserve">Deuda financiera </t>
        </is>
      </c>
      <c r="E609">
        <f>IF(OR(Tabla3_1[[#This Row],[moneda]]="Total en ARS",Tabla3_1[[#This Row],[moneda]]="pesos"),Tabla3_1[[#This Row],[Valor]]*VLOOKUP(Tabla3_1[[#This Row],[añpo]],ipc!$A:$D,4,FALSE),Tabla3_1[[#This Row],[Valor]])</f>
        <v/>
      </c>
    </row>
    <row r="610">
      <c r="A610" t="n">
        <v>2017</v>
      </c>
      <c r="B610" t="inlineStr">
        <is>
          <t>pesos</t>
        </is>
      </c>
      <c r="C610" t="inlineStr">
        <is>
          <t>Organismos internacionales de crédito</t>
        </is>
      </c>
      <c r="D610" t="n">
        <v>888.7029</v>
      </c>
      <c r="E610">
        <f>IF(OR(Tabla3_1[[#This Row],[moneda]]="Total en ARS",Tabla3_1[[#This Row],[moneda]]="pesos"),Tabla3_1[[#This Row],[Valor]]*VLOOKUP(Tabla3_1[[#This Row],[añpo]],ipc!$A:$D,4,FALSE),Tabla3_1[[#This Row],[Valor]])</f>
        <v/>
      </c>
    </row>
    <row r="611">
      <c r="A611" t="n">
        <v>2017</v>
      </c>
      <c r="B611" t="inlineStr">
        <is>
          <t>pesos</t>
        </is>
      </c>
      <c r="C611" t="inlineStr">
        <is>
          <t>Garantías y/o avales</t>
        </is>
      </c>
      <c r="E611">
        <f>IF(OR(Tabla3_1[[#This Row],[moneda]]="Total en ARS",Tabla3_1[[#This Row],[moneda]]="pesos"),Tabla3_1[[#This Row],[Valor]]*VLOOKUP(Tabla3_1[[#This Row],[añpo]],ipc!$A:$D,4,FALSE),Tabla3_1[[#This Row],[Valor]])</f>
        <v/>
      </c>
    </row>
    <row r="612">
      <c r="A612" t="n">
        <v>2017</v>
      </c>
      <c r="B612" t="inlineStr">
        <is>
          <t>pesos</t>
        </is>
      </c>
      <c r="C612" t="inlineStr">
        <is>
          <t>Acuerdo OSPLAD</t>
        </is>
      </c>
      <c r="E612">
        <f>IF(OR(Tabla3_1[[#This Row],[moneda]]="Total en ARS",Tabla3_1[[#This Row],[moneda]]="pesos"),Tabla3_1[[#This Row],[Valor]]*VLOOKUP(Tabla3_1[[#This Row],[añpo]],ipc!$A:$D,4,FALSE),Tabla3_1[[#This Row],[Valor]])</f>
        <v/>
      </c>
    </row>
    <row r="613">
      <c r="A613" t="n">
        <v>2017</v>
      </c>
      <c r="B613" t="inlineStr">
        <is>
          <t>pesos</t>
        </is>
      </c>
      <c r="C613" t="inlineStr">
        <is>
          <t>Préstamo ANSES - Ley 5603</t>
        </is>
      </c>
      <c r="D613" t="n">
        <v>3284.1278</v>
      </c>
      <c r="E613">
        <f>IF(OR(Tabla3_1[[#This Row],[moneda]]="Total en ARS",Tabla3_1[[#This Row],[moneda]]="pesos"),Tabla3_1[[#This Row],[Valor]]*VLOOKUP(Tabla3_1[[#This Row],[añpo]],ipc!$A:$D,4,FALSE),Tabla3_1[[#This Row],[Valor]])</f>
        <v/>
      </c>
    </row>
    <row r="614">
      <c r="A614" t="n">
        <v>2017</v>
      </c>
      <c r="B614" t="inlineStr">
        <is>
          <t>dólares</t>
        </is>
      </c>
      <c r="C614" t="inlineStr">
        <is>
          <t>Proveedores y Contratistas</t>
        </is>
      </c>
      <c r="D614" t="n">
        <v>2043.4387</v>
      </c>
      <c r="E614">
        <f>IF(OR(Tabla3_1[[#This Row],[moneda]]="Total en ARS",Tabla3_1[[#This Row],[moneda]]="pesos"),Tabla3_1[[#This Row],[Valor]]*VLOOKUP(Tabla3_1[[#This Row],[añpo]],ipc!$A:$D,4,FALSE),Tabla3_1[[#This Row],[Valor]])</f>
        <v/>
      </c>
    </row>
    <row r="615">
      <c r="A615" t="n">
        <v>2017</v>
      </c>
      <c r="B615" t="inlineStr">
        <is>
          <t>dólares</t>
        </is>
      </c>
      <c r="C615" t="inlineStr">
        <is>
          <t>Deuda previsional</t>
        </is>
      </c>
      <c r="E615">
        <f>IF(OR(Tabla3_1[[#This Row],[moneda]]="Total en ARS",Tabla3_1[[#This Row],[moneda]]="pesos"),Tabla3_1[[#This Row],[Valor]]*VLOOKUP(Tabla3_1[[#This Row],[añpo]],ipc!$A:$D,4,FALSE),Tabla3_1[[#This Row],[Valor]])</f>
        <v/>
      </c>
    </row>
    <row r="616">
      <c r="A616" t="n">
        <v>2017</v>
      </c>
      <c r="B616" t="inlineStr">
        <is>
          <t>dólares</t>
        </is>
      </c>
      <c r="C616" t="inlineStr">
        <is>
          <t>Títulos públicos</t>
        </is>
      </c>
      <c r="E616">
        <f>IF(OR(Tabla3_1[[#This Row],[moneda]]="Total en ARS",Tabla3_1[[#This Row],[moneda]]="pesos"),Tabla3_1[[#This Row],[Valor]]*VLOOKUP(Tabla3_1[[#This Row],[añpo]],ipc!$A:$D,4,FALSE),Tabla3_1[[#This Row],[Valor]])</f>
        <v/>
      </c>
    </row>
    <row r="617">
      <c r="A617" t="n">
        <v>2017</v>
      </c>
      <c r="B617" t="inlineStr">
        <is>
          <t>dólares</t>
        </is>
      </c>
      <c r="C617" t="inlineStr">
        <is>
          <t>Letras del Tesoro Ley 3395 art. 2</t>
        </is>
      </c>
      <c r="E617">
        <f>IF(OR(Tabla3_1[[#This Row],[moneda]]="Total en ARS",Tabla3_1[[#This Row],[moneda]]="pesos"),Tabla3_1[[#This Row],[Valor]]*VLOOKUP(Tabla3_1[[#This Row],[añpo]],ipc!$A:$D,4,FALSE),Tabla3_1[[#This Row],[Valor]])</f>
        <v/>
      </c>
    </row>
    <row r="618">
      <c r="A618" t="n">
        <v>2017</v>
      </c>
      <c r="B618" t="inlineStr">
        <is>
          <t>dólares</t>
        </is>
      </c>
      <c r="C618" t="inlineStr">
        <is>
          <t xml:space="preserve">Deuda financiera </t>
        </is>
      </c>
      <c r="E618">
        <f>IF(OR(Tabla3_1[[#This Row],[moneda]]="Total en ARS",Tabla3_1[[#This Row],[moneda]]="pesos"),Tabla3_1[[#This Row],[Valor]]*VLOOKUP(Tabla3_1[[#This Row],[añpo]],ipc!$A:$D,4,FALSE),Tabla3_1[[#This Row],[Valor]])</f>
        <v/>
      </c>
    </row>
    <row r="619">
      <c r="A619" t="n">
        <v>2017</v>
      </c>
      <c r="B619" t="inlineStr">
        <is>
          <t>dólares</t>
        </is>
      </c>
      <c r="C619" t="inlineStr">
        <is>
          <t>Organismos internacionales de crédito</t>
        </is>
      </c>
      <c r="D619" t="n">
        <v>223.4101</v>
      </c>
      <c r="E619">
        <f>IF(OR(Tabla3_1[[#This Row],[moneda]]="Total en ARS",Tabla3_1[[#This Row],[moneda]]="pesos"),Tabla3_1[[#This Row],[Valor]]*VLOOKUP(Tabla3_1[[#This Row],[añpo]],ipc!$A:$D,4,FALSE),Tabla3_1[[#This Row],[Valor]])</f>
        <v/>
      </c>
    </row>
    <row r="620">
      <c r="A620" t="n">
        <v>2017</v>
      </c>
      <c r="B620" t="inlineStr">
        <is>
          <t>dólares</t>
        </is>
      </c>
      <c r="C620" t="inlineStr">
        <is>
          <t>Garantías y/o avales</t>
        </is>
      </c>
      <c r="D620" t="n">
        <v>211.469</v>
      </c>
      <c r="E620">
        <f>IF(OR(Tabla3_1[[#This Row],[moneda]]="Total en ARS",Tabla3_1[[#This Row],[moneda]]="pesos"),Tabla3_1[[#This Row],[Valor]]*VLOOKUP(Tabla3_1[[#This Row],[añpo]],ipc!$A:$D,4,FALSE),Tabla3_1[[#This Row],[Valor]])</f>
        <v/>
      </c>
    </row>
    <row r="621">
      <c r="A621" t="n">
        <v>2017</v>
      </c>
      <c r="B621" t="inlineStr">
        <is>
          <t>dólares</t>
        </is>
      </c>
      <c r="C621" t="inlineStr">
        <is>
          <t>Acuerdo OSPLAD</t>
        </is>
      </c>
      <c r="E621">
        <f>IF(OR(Tabla3_1[[#This Row],[moneda]]="Total en ARS",Tabla3_1[[#This Row],[moneda]]="pesos"),Tabla3_1[[#This Row],[Valor]]*VLOOKUP(Tabla3_1[[#This Row],[añpo]],ipc!$A:$D,4,FALSE),Tabla3_1[[#This Row],[Valor]])</f>
        <v/>
      </c>
    </row>
    <row r="622">
      <c r="A622" t="n">
        <v>2017</v>
      </c>
      <c r="B622" t="inlineStr">
        <is>
          <t>dólares</t>
        </is>
      </c>
      <c r="C622" t="inlineStr">
        <is>
          <t>Préstamo ANSES - Ley 5603</t>
        </is>
      </c>
      <c r="E622">
        <f>IF(OR(Tabla3_1[[#This Row],[moneda]]="Total en ARS",Tabla3_1[[#This Row],[moneda]]="pesos"),Tabla3_1[[#This Row],[Valor]]*VLOOKUP(Tabla3_1[[#This Row],[añpo]],ipc!$A:$D,4,FALSE),Tabla3_1[[#This Row],[Valor]])</f>
        <v/>
      </c>
    </row>
    <row r="623">
      <c r="A623" t="n">
        <v>2017</v>
      </c>
      <c r="B623" t="inlineStr">
        <is>
          <t xml:space="preserve">  euros</t>
        </is>
      </c>
      <c r="C623" t="inlineStr">
        <is>
          <t>Proveedores y Contratistas</t>
        </is>
      </c>
      <c r="D623" t="n">
        <v>57.0388</v>
      </c>
      <c r="E623">
        <f>IF(OR(Tabla3_1[[#This Row],[moneda]]="Total en ARS",Tabla3_1[[#This Row],[moneda]]="pesos"),Tabla3_1[[#This Row],[Valor]]*VLOOKUP(Tabla3_1[[#This Row],[añpo]],ipc!$A:$D,4,FALSE),Tabla3_1[[#This Row],[Valor]])</f>
        <v/>
      </c>
    </row>
    <row r="624">
      <c r="A624" t="n">
        <v>2017</v>
      </c>
      <c r="B624" t="inlineStr">
        <is>
          <t xml:space="preserve">  euros</t>
        </is>
      </c>
      <c r="C624" t="inlineStr">
        <is>
          <t>Deuda previsional</t>
        </is>
      </c>
      <c r="E624">
        <f>IF(OR(Tabla3_1[[#This Row],[moneda]]="Total en ARS",Tabla3_1[[#This Row],[moneda]]="pesos"),Tabla3_1[[#This Row],[Valor]]*VLOOKUP(Tabla3_1[[#This Row],[añpo]],ipc!$A:$D,4,FALSE),Tabla3_1[[#This Row],[Valor]])</f>
        <v/>
      </c>
    </row>
    <row r="625">
      <c r="A625" t="n">
        <v>2017</v>
      </c>
      <c r="B625" t="inlineStr">
        <is>
          <t xml:space="preserve">  euros</t>
        </is>
      </c>
      <c r="C625" t="inlineStr">
        <is>
          <t>Títulos públicos</t>
        </is>
      </c>
      <c r="E625">
        <f>IF(OR(Tabla3_1[[#This Row],[moneda]]="Total en ARS",Tabla3_1[[#This Row],[moneda]]="pesos"),Tabla3_1[[#This Row],[Valor]]*VLOOKUP(Tabla3_1[[#This Row],[añpo]],ipc!$A:$D,4,FALSE),Tabla3_1[[#This Row],[Valor]])</f>
        <v/>
      </c>
    </row>
    <row r="626">
      <c r="A626" t="n">
        <v>2017</v>
      </c>
      <c r="B626" t="inlineStr">
        <is>
          <t xml:space="preserve">  euros</t>
        </is>
      </c>
      <c r="C626" t="inlineStr">
        <is>
          <t>Letras del Tesoro Ley 3395 art. 2</t>
        </is>
      </c>
      <c r="E626">
        <f>IF(OR(Tabla3_1[[#This Row],[moneda]]="Total en ARS",Tabla3_1[[#This Row],[moneda]]="pesos"),Tabla3_1[[#This Row],[Valor]]*VLOOKUP(Tabla3_1[[#This Row],[añpo]],ipc!$A:$D,4,FALSE),Tabla3_1[[#This Row],[Valor]])</f>
        <v/>
      </c>
    </row>
    <row r="627">
      <c r="A627" t="n">
        <v>2017</v>
      </c>
      <c r="B627" t="inlineStr">
        <is>
          <t xml:space="preserve">  euros</t>
        </is>
      </c>
      <c r="C627" t="inlineStr">
        <is>
          <t xml:space="preserve">Deuda financiera </t>
        </is>
      </c>
      <c r="E627">
        <f>IF(OR(Tabla3_1[[#This Row],[moneda]]="Total en ARS",Tabla3_1[[#This Row],[moneda]]="pesos"),Tabla3_1[[#This Row],[Valor]]*VLOOKUP(Tabla3_1[[#This Row],[añpo]],ipc!$A:$D,4,FALSE),Tabla3_1[[#This Row],[Valor]])</f>
        <v/>
      </c>
    </row>
    <row r="628">
      <c r="A628" t="n">
        <v>2017</v>
      </c>
      <c r="B628" t="inlineStr">
        <is>
          <t xml:space="preserve">  euros</t>
        </is>
      </c>
      <c r="C628" t="inlineStr">
        <is>
          <t>Organismos internacionales de crédito</t>
        </is>
      </c>
      <c r="D628" t="n">
        <v>57.0388</v>
      </c>
      <c r="E628">
        <f>IF(OR(Tabla3_1[[#This Row],[moneda]]="Total en ARS",Tabla3_1[[#This Row],[moneda]]="pesos"),Tabla3_1[[#This Row],[Valor]]*VLOOKUP(Tabla3_1[[#This Row],[añpo]],ipc!$A:$D,4,FALSE),Tabla3_1[[#This Row],[Valor]])</f>
        <v/>
      </c>
    </row>
    <row r="629">
      <c r="A629" t="n">
        <v>2017</v>
      </c>
      <c r="B629" t="inlineStr">
        <is>
          <t xml:space="preserve">  euros</t>
        </is>
      </c>
      <c r="C629" t="inlineStr">
        <is>
          <t>Garantías y/o avales</t>
        </is>
      </c>
      <c r="E629">
        <f>IF(OR(Tabla3_1[[#This Row],[moneda]]="Total en ARS",Tabla3_1[[#This Row],[moneda]]="pesos"),Tabla3_1[[#This Row],[Valor]]*VLOOKUP(Tabla3_1[[#This Row],[añpo]],ipc!$A:$D,4,FALSE),Tabla3_1[[#This Row],[Valor]])</f>
        <v/>
      </c>
    </row>
    <row r="630">
      <c r="A630" t="n">
        <v>2017</v>
      </c>
      <c r="B630" t="inlineStr">
        <is>
          <t xml:space="preserve">  euros</t>
        </is>
      </c>
      <c r="C630" t="inlineStr">
        <is>
          <t>Acuerdo OSPLAD</t>
        </is>
      </c>
      <c r="E630">
        <f>IF(OR(Tabla3_1[[#This Row],[moneda]]="Total en ARS",Tabla3_1[[#This Row],[moneda]]="pesos"),Tabla3_1[[#This Row],[Valor]]*VLOOKUP(Tabla3_1[[#This Row],[añpo]],ipc!$A:$D,4,FALSE),Tabla3_1[[#This Row],[Valor]])</f>
        <v/>
      </c>
    </row>
    <row r="631">
      <c r="A631" t="n">
        <v>2017</v>
      </c>
      <c r="B631" t="inlineStr">
        <is>
          <t xml:space="preserve">  euros</t>
        </is>
      </c>
      <c r="C631" t="inlineStr">
        <is>
          <t>Préstamo ANSES - Ley 5603</t>
        </is>
      </c>
      <c r="E631">
        <f>IF(OR(Tabla3_1[[#This Row],[moneda]]="Total en ARS",Tabla3_1[[#This Row],[moneda]]="pesos"),Tabla3_1[[#This Row],[Valor]]*VLOOKUP(Tabla3_1[[#This Row],[añpo]],ipc!$A:$D,4,FALSE),Tabla3_1[[#This Row],[Valor]])</f>
        <v/>
      </c>
    </row>
    <row r="632">
      <c r="A632" t="n">
        <v>2018</v>
      </c>
      <c r="B632" t="inlineStr">
        <is>
          <t>Total en ARS</t>
        </is>
      </c>
      <c r="C632" t="inlineStr">
        <is>
          <t>Proveedores y Contratistas</t>
        </is>
      </c>
      <c r="D632" t="n">
        <v>146236.786368</v>
      </c>
      <c r="E632">
        <f>IF(OR(Tabla3_1[[#This Row],[moneda]]="Total en ARS",Tabla3_1[[#This Row],[moneda]]="pesos"),Tabla3_1[[#This Row],[Valor]]*VLOOKUP(Tabla3_1[[#This Row],[añpo]],ipc!$A:$D,4,FALSE),Tabla3_1[[#This Row],[Valor]])</f>
        <v/>
      </c>
    </row>
    <row r="633">
      <c r="A633" t="n">
        <v>2018</v>
      </c>
      <c r="B633" t="inlineStr">
        <is>
          <t>Total en ARS</t>
        </is>
      </c>
      <c r="C633" t="inlineStr">
        <is>
          <t>Deuda previsional</t>
        </is>
      </c>
      <c r="D633" t="n">
        <v>33107.785</v>
      </c>
      <c r="E633">
        <f>IF(OR(Tabla3_1[[#This Row],[moneda]]="Total en ARS",Tabla3_1[[#This Row],[moneda]]="pesos"),Tabla3_1[[#This Row],[Valor]]*VLOOKUP(Tabla3_1[[#This Row],[añpo]],ipc!$A:$D,4,FALSE),Tabla3_1[[#This Row],[Valor]])</f>
        <v/>
      </c>
    </row>
    <row r="634">
      <c r="A634" t="n">
        <v>2018</v>
      </c>
      <c r="B634" t="inlineStr">
        <is>
          <t>Total en ARS</t>
        </is>
      </c>
      <c r="C634" t="inlineStr">
        <is>
          <t>Títulos públicos</t>
        </is>
      </c>
      <c r="D634" t="n">
        <v>32.9536</v>
      </c>
      <c r="E634">
        <f>IF(OR(Tabla3_1[[#This Row],[moneda]]="Total en ARS",Tabla3_1[[#This Row],[moneda]]="pesos"),Tabla3_1[[#This Row],[Valor]]*VLOOKUP(Tabla3_1[[#This Row],[añpo]],ipc!$A:$D,4,FALSE),Tabla3_1[[#This Row],[Valor]])</f>
        <v/>
      </c>
    </row>
    <row r="635">
      <c r="A635" t="n">
        <v>2018</v>
      </c>
      <c r="B635" t="inlineStr">
        <is>
          <t>Total en ARS</t>
        </is>
      </c>
      <c r="C635" t="inlineStr">
        <is>
          <t>Letras del Tesoro Ley 3395 art. 2</t>
        </is>
      </c>
      <c r="E635">
        <f>IF(OR(Tabla3_1[[#This Row],[moneda]]="Total en ARS",Tabla3_1[[#This Row],[moneda]]="pesos"),Tabla3_1[[#This Row],[Valor]]*VLOOKUP(Tabla3_1[[#This Row],[añpo]],ipc!$A:$D,4,FALSE),Tabla3_1[[#This Row],[Valor]])</f>
        <v/>
      </c>
    </row>
    <row r="636">
      <c r="A636" t="n">
        <v>2018</v>
      </c>
      <c r="B636" t="inlineStr">
        <is>
          <t>Total en ARS</t>
        </is>
      </c>
      <c r="C636" t="inlineStr">
        <is>
          <t xml:space="preserve">Deuda financiera </t>
        </is>
      </c>
      <c r="D636" t="n">
        <v>1588.367468</v>
      </c>
      <c r="E636">
        <f>IF(OR(Tabla3_1[[#This Row],[moneda]]="Total en ARS",Tabla3_1[[#This Row],[moneda]]="pesos"),Tabla3_1[[#This Row],[Valor]]*VLOOKUP(Tabla3_1[[#This Row],[añpo]],ipc!$A:$D,4,FALSE),Tabla3_1[[#This Row],[Valor]])</f>
        <v/>
      </c>
    </row>
    <row r="637">
      <c r="A637" t="n">
        <v>2018</v>
      </c>
      <c r="B637" t="inlineStr">
        <is>
          <t>Total en ARS</t>
        </is>
      </c>
      <c r="C637" t="inlineStr">
        <is>
          <t>Organismos internacionales de crédito</t>
        </is>
      </c>
      <c r="D637" t="n">
        <v>15039.0281</v>
      </c>
      <c r="E637">
        <f>IF(OR(Tabla3_1[[#This Row],[moneda]]="Total en ARS",Tabla3_1[[#This Row],[moneda]]="pesos"),Tabla3_1[[#This Row],[Valor]]*VLOOKUP(Tabla3_1[[#This Row],[añpo]],ipc!$A:$D,4,FALSE),Tabla3_1[[#This Row],[Valor]])</f>
        <v/>
      </c>
    </row>
    <row r="638">
      <c r="A638" t="n">
        <v>2018</v>
      </c>
      <c r="B638" t="inlineStr">
        <is>
          <t>Total en ARS</t>
        </is>
      </c>
      <c r="C638" t="inlineStr">
        <is>
          <t>Garantías y/o avales</t>
        </is>
      </c>
      <c r="D638" t="n">
        <v>7987.725200000001</v>
      </c>
      <c r="E638">
        <f>IF(OR(Tabla3_1[[#This Row],[moneda]]="Total en ARS",Tabla3_1[[#This Row],[moneda]]="pesos"),Tabla3_1[[#This Row],[Valor]]*VLOOKUP(Tabla3_1[[#This Row],[añpo]],ipc!$A:$D,4,FALSE),Tabla3_1[[#This Row],[Valor]])</f>
        <v/>
      </c>
    </row>
    <row r="639">
      <c r="A639" t="n">
        <v>2018</v>
      </c>
      <c r="B639" t="inlineStr">
        <is>
          <t>Total en ARS</t>
        </is>
      </c>
      <c r="C639" t="inlineStr">
        <is>
          <t>Acuerdo OSPLAD</t>
        </is>
      </c>
      <c r="E639">
        <f>IF(OR(Tabla3_1[[#This Row],[moneda]]="Total en ARS",Tabla3_1[[#This Row],[moneda]]="pesos"),Tabla3_1[[#This Row],[Valor]]*VLOOKUP(Tabla3_1[[#This Row],[añpo]],ipc!$A:$D,4,FALSE),Tabla3_1[[#This Row],[Valor]])</f>
        <v/>
      </c>
    </row>
    <row r="640">
      <c r="A640" t="n">
        <v>2018</v>
      </c>
      <c r="B640" t="inlineStr">
        <is>
          <t>Total en ARS</t>
        </is>
      </c>
      <c r="C640" t="inlineStr">
        <is>
          <t>Préstamo ANSES - Ley 5603</t>
        </is>
      </c>
      <c r="D640" t="n">
        <v>4879.626</v>
      </c>
      <c r="E640">
        <f>IF(OR(Tabla3_1[[#This Row],[moneda]]="Total en ARS",Tabla3_1[[#This Row],[moneda]]="pesos"),Tabla3_1[[#This Row],[Valor]]*VLOOKUP(Tabla3_1[[#This Row],[añpo]],ipc!$A:$D,4,FALSE),Tabla3_1[[#This Row],[Valor]])</f>
        <v/>
      </c>
    </row>
    <row r="641">
      <c r="A641" t="n">
        <v>2018</v>
      </c>
      <c r="B641" t="inlineStr">
        <is>
          <t>pesos</t>
        </is>
      </c>
      <c r="C641" t="inlineStr">
        <is>
          <t>Proveedores y Contratistas</t>
        </is>
      </c>
      <c r="D641" t="n">
        <v>67192.66129999999</v>
      </c>
      <c r="E641">
        <f>IF(OR(Tabla3_1[[#This Row],[moneda]]="Total en ARS",Tabla3_1[[#This Row],[moneda]]="pesos"),Tabla3_1[[#This Row],[Valor]]*VLOOKUP(Tabla3_1[[#This Row],[añpo]],ipc!$A:$D,4,FALSE),Tabla3_1[[#This Row],[Valor]])</f>
        <v/>
      </c>
    </row>
    <row r="642">
      <c r="A642" t="n">
        <v>2018</v>
      </c>
      <c r="B642" t="inlineStr">
        <is>
          <t>pesos</t>
        </is>
      </c>
      <c r="C642" t="inlineStr">
        <is>
          <t>Deuda previsional</t>
        </is>
      </c>
      <c r="D642" t="n">
        <v>33063.0315</v>
      </c>
      <c r="E642">
        <f>IF(OR(Tabla3_1[[#This Row],[moneda]]="Total en ARS",Tabla3_1[[#This Row],[moneda]]="pesos"),Tabla3_1[[#This Row],[Valor]]*VLOOKUP(Tabla3_1[[#This Row],[añpo]],ipc!$A:$D,4,FALSE),Tabla3_1[[#This Row],[Valor]])</f>
        <v/>
      </c>
    </row>
    <row r="643">
      <c r="A643" t="n">
        <v>2018</v>
      </c>
      <c r="B643" t="inlineStr">
        <is>
          <t>pesos</t>
        </is>
      </c>
      <c r="C643" t="inlineStr">
        <is>
          <t>Títulos públicos</t>
        </is>
      </c>
      <c r="D643" t="n">
        <v>32.9536</v>
      </c>
      <c r="E643">
        <f>IF(OR(Tabla3_1[[#This Row],[moneda]]="Total en ARS",Tabla3_1[[#This Row],[moneda]]="pesos"),Tabla3_1[[#This Row],[Valor]]*VLOOKUP(Tabla3_1[[#This Row],[añpo]],ipc!$A:$D,4,FALSE),Tabla3_1[[#This Row],[Valor]])</f>
        <v/>
      </c>
    </row>
    <row r="644">
      <c r="A644" t="n">
        <v>2018</v>
      </c>
      <c r="B644" t="inlineStr">
        <is>
          <t>pesos</t>
        </is>
      </c>
      <c r="C644" t="inlineStr">
        <is>
          <t>Letras del Tesoro Ley 3395 art. 2</t>
        </is>
      </c>
      <c r="E644">
        <f>IF(OR(Tabla3_1[[#This Row],[moneda]]="Total en ARS",Tabla3_1[[#This Row],[moneda]]="pesos"),Tabla3_1[[#This Row],[Valor]]*VLOOKUP(Tabla3_1[[#This Row],[añpo]],ipc!$A:$D,4,FALSE),Tabla3_1[[#This Row],[Valor]])</f>
        <v/>
      </c>
    </row>
    <row r="645">
      <c r="A645" t="n">
        <v>2018</v>
      </c>
      <c r="B645" t="inlineStr">
        <is>
          <t>pesos</t>
        </is>
      </c>
      <c r="C645" t="inlineStr">
        <is>
          <t xml:space="preserve">Deuda financiera </t>
        </is>
      </c>
      <c r="E645">
        <f>IF(OR(Tabla3_1[[#This Row],[moneda]]="Total en ARS",Tabla3_1[[#This Row],[moneda]]="pesos"),Tabla3_1[[#This Row],[Valor]]*VLOOKUP(Tabla3_1[[#This Row],[añpo]],ipc!$A:$D,4,FALSE),Tabla3_1[[#This Row],[Valor]])</f>
        <v/>
      </c>
    </row>
    <row r="646">
      <c r="A646" t="n">
        <v>2018</v>
      </c>
      <c r="B646" t="inlineStr">
        <is>
          <t>pesos</t>
        </is>
      </c>
      <c r="C646" t="inlineStr">
        <is>
          <t>Organismos internacionales de crédito</t>
        </is>
      </c>
      <c r="D646" t="n">
        <v>912.6879</v>
      </c>
      <c r="E646">
        <f>IF(OR(Tabla3_1[[#This Row],[moneda]]="Total en ARS",Tabla3_1[[#This Row],[moneda]]="pesos"),Tabla3_1[[#This Row],[Valor]]*VLOOKUP(Tabla3_1[[#This Row],[añpo]],ipc!$A:$D,4,FALSE),Tabla3_1[[#This Row],[Valor]])</f>
        <v/>
      </c>
    </row>
    <row r="647">
      <c r="A647" t="n">
        <v>2018</v>
      </c>
      <c r="B647" t="inlineStr">
        <is>
          <t>pesos</t>
        </is>
      </c>
      <c r="C647" t="inlineStr">
        <is>
          <t>Garantías y/o avales</t>
        </is>
      </c>
      <c r="E647">
        <f>IF(OR(Tabla3_1[[#This Row],[moneda]]="Total en ARS",Tabla3_1[[#This Row],[moneda]]="pesos"),Tabla3_1[[#This Row],[Valor]]*VLOOKUP(Tabla3_1[[#This Row],[añpo]],ipc!$A:$D,4,FALSE),Tabla3_1[[#This Row],[Valor]])</f>
        <v/>
      </c>
    </row>
    <row r="648">
      <c r="A648" t="n">
        <v>2018</v>
      </c>
      <c r="B648" t="inlineStr">
        <is>
          <t>pesos</t>
        </is>
      </c>
      <c r="C648" t="inlineStr">
        <is>
          <t>Acuerdo OSPLAD</t>
        </is>
      </c>
      <c r="E648">
        <f>IF(OR(Tabla3_1[[#This Row],[moneda]]="Total en ARS",Tabla3_1[[#This Row],[moneda]]="pesos"),Tabla3_1[[#This Row],[Valor]]*VLOOKUP(Tabla3_1[[#This Row],[añpo]],ipc!$A:$D,4,FALSE),Tabla3_1[[#This Row],[Valor]])</f>
        <v/>
      </c>
    </row>
    <row r="649">
      <c r="A649" t="n">
        <v>2018</v>
      </c>
      <c r="B649" t="inlineStr">
        <is>
          <t>pesos</t>
        </is>
      </c>
      <c r="C649" t="inlineStr">
        <is>
          <t>Préstamo ANSES - Ley 5603</t>
        </is>
      </c>
      <c r="D649" t="n">
        <v>4879.626</v>
      </c>
      <c r="E649">
        <f>IF(OR(Tabla3_1[[#This Row],[moneda]]="Total en ARS",Tabla3_1[[#This Row],[moneda]]="pesos"),Tabla3_1[[#This Row],[Valor]]*VLOOKUP(Tabla3_1[[#This Row],[añpo]],ipc!$A:$D,4,FALSE),Tabla3_1[[#This Row],[Valor]])</f>
        <v/>
      </c>
    </row>
    <row r="650">
      <c r="A650" t="n">
        <v>2018</v>
      </c>
      <c r="B650" t="inlineStr">
        <is>
          <t>dólares</t>
        </is>
      </c>
      <c r="C650" t="inlineStr">
        <is>
          <t>Proveedores y Contratistas</t>
        </is>
      </c>
      <c r="D650" t="n">
        <v>2021.92059</v>
      </c>
      <c r="E650">
        <f>IF(OR(Tabla3_1[[#This Row],[moneda]]="Total en ARS",Tabla3_1[[#This Row],[moneda]]="pesos"),Tabla3_1[[#This Row],[Valor]]*VLOOKUP(Tabla3_1[[#This Row],[añpo]],ipc!$A:$D,4,FALSE),Tabla3_1[[#This Row],[Valor]])</f>
        <v/>
      </c>
    </row>
    <row r="651">
      <c r="A651" t="n">
        <v>2018</v>
      </c>
      <c r="B651" t="inlineStr">
        <is>
          <t>dólares</t>
        </is>
      </c>
      <c r="C651" t="inlineStr">
        <is>
          <t>Deuda previsional</t>
        </is>
      </c>
      <c r="D651" t="n">
        <v>1.18663</v>
      </c>
      <c r="E651">
        <f>IF(OR(Tabla3_1[[#This Row],[moneda]]="Total en ARS",Tabla3_1[[#This Row],[moneda]]="pesos"),Tabla3_1[[#This Row],[Valor]]*VLOOKUP(Tabla3_1[[#This Row],[añpo]],ipc!$A:$D,4,FALSE),Tabla3_1[[#This Row],[Valor]])</f>
        <v/>
      </c>
    </row>
    <row r="652">
      <c r="A652" t="n">
        <v>2018</v>
      </c>
      <c r="B652" t="inlineStr">
        <is>
          <t>dólares</t>
        </is>
      </c>
      <c r="C652" t="inlineStr">
        <is>
          <t>Títulos públicos</t>
        </is>
      </c>
      <c r="E652">
        <f>IF(OR(Tabla3_1[[#This Row],[moneda]]="Total en ARS",Tabla3_1[[#This Row],[moneda]]="pesos"),Tabla3_1[[#This Row],[Valor]]*VLOOKUP(Tabla3_1[[#This Row],[añpo]],ipc!$A:$D,4,FALSE),Tabla3_1[[#This Row],[Valor]])</f>
        <v/>
      </c>
    </row>
    <row r="653">
      <c r="A653" t="n">
        <v>2018</v>
      </c>
      <c r="B653" t="inlineStr">
        <is>
          <t>dólares</t>
        </is>
      </c>
      <c r="C653" t="inlineStr">
        <is>
          <t>Letras del Tesoro Ley 3395 art. 2</t>
        </is>
      </c>
      <c r="E653">
        <f>IF(OR(Tabla3_1[[#This Row],[moneda]]="Total en ARS",Tabla3_1[[#This Row],[moneda]]="pesos"),Tabla3_1[[#This Row],[Valor]]*VLOOKUP(Tabla3_1[[#This Row],[añpo]],ipc!$A:$D,4,FALSE),Tabla3_1[[#This Row],[Valor]])</f>
        <v/>
      </c>
    </row>
    <row r="654">
      <c r="A654" t="n">
        <v>2018</v>
      </c>
      <c r="B654" t="inlineStr">
        <is>
          <t>dólares</t>
        </is>
      </c>
      <c r="C654" t="inlineStr">
        <is>
          <t xml:space="preserve">Deuda financiera </t>
        </is>
      </c>
      <c r="D654" t="n">
        <v>6.04966</v>
      </c>
      <c r="E654">
        <f>IF(OR(Tabla3_1[[#This Row],[moneda]]="Total en ARS",Tabla3_1[[#This Row],[moneda]]="pesos"),Tabla3_1[[#This Row],[Valor]]*VLOOKUP(Tabla3_1[[#This Row],[añpo]],ipc!$A:$D,4,FALSE),Tabla3_1[[#This Row],[Valor]])</f>
        <v/>
      </c>
    </row>
    <row r="655">
      <c r="A655" t="n">
        <v>2018</v>
      </c>
      <c r="B655" t="inlineStr">
        <is>
          <t>dólares</t>
        </is>
      </c>
      <c r="C655" t="inlineStr">
        <is>
          <t>Organismos internacionales de crédito</t>
        </is>
      </c>
      <c r="D655" t="n">
        <v>335.9978</v>
      </c>
      <c r="E655">
        <f>IF(OR(Tabla3_1[[#This Row],[moneda]]="Total en ARS",Tabla3_1[[#This Row],[moneda]]="pesos"),Tabla3_1[[#This Row],[Valor]]*VLOOKUP(Tabla3_1[[#This Row],[añpo]],ipc!$A:$D,4,FALSE),Tabla3_1[[#This Row],[Valor]])</f>
        <v/>
      </c>
    </row>
    <row r="656">
      <c r="A656" t="n">
        <v>2018</v>
      </c>
      <c r="B656" t="inlineStr">
        <is>
          <t>dólares</t>
        </is>
      </c>
      <c r="C656" t="inlineStr">
        <is>
          <t>Garantías y/o avales</t>
        </is>
      </c>
      <c r="D656" t="n">
        <v>211.876</v>
      </c>
      <c r="E656">
        <f>IF(OR(Tabla3_1[[#This Row],[moneda]]="Total en ARS",Tabla3_1[[#This Row],[moneda]]="pesos"),Tabla3_1[[#This Row],[Valor]]*VLOOKUP(Tabla3_1[[#This Row],[añpo]],ipc!$A:$D,4,FALSE),Tabla3_1[[#This Row],[Valor]])</f>
        <v/>
      </c>
    </row>
    <row r="657">
      <c r="A657" t="n">
        <v>2018</v>
      </c>
      <c r="B657" t="inlineStr">
        <is>
          <t>dólares</t>
        </is>
      </c>
      <c r="C657" t="inlineStr">
        <is>
          <t>Acuerdo OSPLAD</t>
        </is>
      </c>
      <c r="E657">
        <f>IF(OR(Tabla3_1[[#This Row],[moneda]]="Total en ARS",Tabla3_1[[#This Row],[moneda]]="pesos"),Tabla3_1[[#This Row],[Valor]]*VLOOKUP(Tabla3_1[[#This Row],[añpo]],ipc!$A:$D,4,FALSE),Tabla3_1[[#This Row],[Valor]])</f>
        <v/>
      </c>
    </row>
    <row r="658">
      <c r="A658" t="n">
        <v>2018</v>
      </c>
      <c r="B658" t="inlineStr">
        <is>
          <t>dólares</t>
        </is>
      </c>
      <c r="C658" t="inlineStr">
        <is>
          <t>Préstamo ANSES - Ley 5603</t>
        </is>
      </c>
      <c r="E658">
        <f>IF(OR(Tabla3_1[[#This Row],[moneda]]="Total en ARS",Tabla3_1[[#This Row],[moneda]]="pesos"),Tabla3_1[[#This Row],[Valor]]*VLOOKUP(Tabla3_1[[#This Row],[añpo]],ipc!$A:$D,4,FALSE),Tabla3_1[[#This Row],[Valor]])</f>
        <v/>
      </c>
    </row>
    <row r="659">
      <c r="A659" t="n">
        <v>2018</v>
      </c>
      <c r="B659" t="inlineStr">
        <is>
          <t xml:space="preserve">  euros</t>
        </is>
      </c>
      <c r="C659" t="inlineStr">
        <is>
          <t>Proveedores y Contratistas</t>
        </is>
      </c>
      <c r="D659" t="n">
        <v>33.8075</v>
      </c>
      <c r="E659">
        <f>IF(OR(Tabla3_1[[#This Row],[moneda]]="Total en ARS",Tabla3_1[[#This Row],[moneda]]="pesos"),Tabla3_1[[#This Row],[Valor]]*VLOOKUP(Tabla3_1[[#This Row],[añpo]],ipc!$A:$D,4,FALSE),Tabla3_1[[#This Row],[Valor]])</f>
        <v/>
      </c>
    </row>
    <row r="660">
      <c r="A660" t="n">
        <v>2018</v>
      </c>
      <c r="B660" t="inlineStr">
        <is>
          <t xml:space="preserve">  euros</t>
        </is>
      </c>
      <c r="C660" t="inlineStr">
        <is>
          <t>Deuda previsional</t>
        </is>
      </c>
      <c r="E660">
        <f>IF(OR(Tabla3_1[[#This Row],[moneda]]="Total en ARS",Tabla3_1[[#This Row],[moneda]]="pesos"),Tabla3_1[[#This Row],[Valor]]*VLOOKUP(Tabla3_1[[#This Row],[añpo]],ipc!$A:$D,4,FALSE),Tabla3_1[[#This Row],[Valor]])</f>
        <v/>
      </c>
    </row>
    <row r="661">
      <c r="A661" t="n">
        <v>2018</v>
      </c>
      <c r="B661" t="inlineStr">
        <is>
          <t xml:space="preserve">  euros</t>
        </is>
      </c>
      <c r="C661" t="inlineStr">
        <is>
          <t>Títulos públicos</t>
        </is>
      </c>
      <c r="E661">
        <f>IF(OR(Tabla3_1[[#This Row],[moneda]]="Total en ARS",Tabla3_1[[#This Row],[moneda]]="pesos"),Tabla3_1[[#This Row],[Valor]]*VLOOKUP(Tabla3_1[[#This Row],[añpo]],ipc!$A:$D,4,FALSE),Tabla3_1[[#This Row],[Valor]])</f>
        <v/>
      </c>
    </row>
    <row r="662">
      <c r="A662" t="n">
        <v>2018</v>
      </c>
      <c r="B662" t="inlineStr">
        <is>
          <t xml:space="preserve">  euros</t>
        </is>
      </c>
      <c r="C662" t="inlineStr">
        <is>
          <t>Letras del Tesoro Ley 3395 art. 2</t>
        </is>
      </c>
      <c r="E662">
        <f>IF(OR(Tabla3_1[[#This Row],[moneda]]="Total en ARS",Tabla3_1[[#This Row],[moneda]]="pesos"),Tabla3_1[[#This Row],[Valor]]*VLOOKUP(Tabla3_1[[#This Row],[añpo]],ipc!$A:$D,4,FALSE),Tabla3_1[[#This Row],[Valor]])</f>
        <v/>
      </c>
    </row>
    <row r="663">
      <c r="A663" t="n">
        <v>2018</v>
      </c>
      <c r="B663" t="inlineStr">
        <is>
          <t xml:space="preserve">  euros</t>
        </is>
      </c>
      <c r="C663" t="inlineStr">
        <is>
          <t xml:space="preserve">Deuda financiera </t>
        </is>
      </c>
      <c r="E663">
        <f>IF(OR(Tabla3_1[[#This Row],[moneda]]="Total en ARS",Tabla3_1[[#This Row],[moneda]]="pesos"),Tabla3_1[[#This Row],[Valor]]*VLOOKUP(Tabla3_1[[#This Row],[añpo]],ipc!$A:$D,4,FALSE),Tabla3_1[[#This Row],[Valor]])</f>
        <v/>
      </c>
    </row>
    <row r="664">
      <c r="A664" t="n">
        <v>2018</v>
      </c>
      <c r="B664" t="inlineStr">
        <is>
          <t xml:space="preserve">  euros</t>
        </is>
      </c>
      <c r="C664" t="inlineStr">
        <is>
          <t>Organismos internacionales de crédito</t>
        </is>
      </c>
      <c r="D664" t="n">
        <v>33.8075</v>
      </c>
      <c r="E664">
        <f>IF(OR(Tabla3_1[[#This Row],[moneda]]="Total en ARS",Tabla3_1[[#This Row],[moneda]]="pesos"),Tabla3_1[[#This Row],[Valor]]*VLOOKUP(Tabla3_1[[#This Row],[añpo]],ipc!$A:$D,4,FALSE),Tabla3_1[[#This Row],[Valor]])</f>
        <v/>
      </c>
    </row>
    <row r="665">
      <c r="A665" t="n">
        <v>2018</v>
      </c>
      <c r="B665" t="inlineStr">
        <is>
          <t xml:space="preserve">  euros</t>
        </is>
      </c>
      <c r="C665" t="inlineStr">
        <is>
          <t>Garantías y/o avales</t>
        </is>
      </c>
      <c r="E665">
        <f>IF(OR(Tabla3_1[[#This Row],[moneda]]="Total en ARS",Tabla3_1[[#This Row],[moneda]]="pesos"),Tabla3_1[[#This Row],[Valor]]*VLOOKUP(Tabla3_1[[#This Row],[añpo]],ipc!$A:$D,4,FALSE),Tabla3_1[[#This Row],[Valor]])</f>
        <v/>
      </c>
    </row>
    <row r="666">
      <c r="A666" t="n">
        <v>2018</v>
      </c>
      <c r="B666" t="inlineStr">
        <is>
          <t xml:space="preserve">  euros</t>
        </is>
      </c>
      <c r="C666" t="inlineStr">
        <is>
          <t>Acuerdo OSPLAD</t>
        </is>
      </c>
      <c r="E666">
        <f>IF(OR(Tabla3_1[[#This Row],[moneda]]="Total en ARS",Tabla3_1[[#This Row],[moneda]]="pesos"),Tabla3_1[[#This Row],[Valor]]*VLOOKUP(Tabla3_1[[#This Row],[añpo]],ipc!$A:$D,4,FALSE),Tabla3_1[[#This Row],[Valor]])</f>
        <v/>
      </c>
    </row>
    <row r="667">
      <c r="A667" t="n">
        <v>2018</v>
      </c>
      <c r="B667" t="inlineStr">
        <is>
          <t xml:space="preserve">  euros</t>
        </is>
      </c>
      <c r="C667" t="inlineStr">
        <is>
          <t>Préstamo ANSES - Ley 5603</t>
        </is>
      </c>
      <c r="E667">
        <f>IF(OR(Tabla3_1[[#This Row],[moneda]]="Total en ARS",Tabla3_1[[#This Row],[moneda]]="pesos"),Tabla3_1[[#This Row],[Valor]]*VLOOKUP(Tabla3_1[[#This Row],[añpo]],ipc!$A:$D,4,FALSE),Tabla3_1[[#This Row],[Valor]])</f>
        <v/>
      </c>
    </row>
    <row r="668">
      <c r="A668" t="n">
        <v>2018</v>
      </c>
      <c r="B668" t="inlineStr">
        <is>
          <t>UVAs</t>
        </is>
      </c>
      <c r="C668" t="inlineStr">
        <is>
          <t>Proveedores y Contratistas</t>
        </is>
      </c>
      <c r="D668" t="n">
        <v>43.7958</v>
      </c>
      <c r="E668">
        <f>IF(OR(Tabla3_1[[#This Row],[moneda]]="Total en ARS",Tabla3_1[[#This Row],[moneda]]="pesos"),Tabla3_1[[#This Row],[Valor]]*VLOOKUP(Tabla3_1[[#This Row],[añpo]],ipc!$A:$D,4,FALSE),Tabla3_1[[#This Row],[Valor]])</f>
        <v/>
      </c>
    </row>
    <row r="669">
      <c r="A669" t="n">
        <v>2018</v>
      </c>
      <c r="B669" t="inlineStr">
        <is>
          <t>UVAs</t>
        </is>
      </c>
      <c r="C669" t="inlineStr">
        <is>
          <t>Deuda previsional</t>
        </is>
      </c>
      <c r="E669">
        <f>IF(OR(Tabla3_1[[#This Row],[moneda]]="Total en ARS",Tabla3_1[[#This Row],[moneda]]="pesos"),Tabla3_1[[#This Row],[Valor]]*VLOOKUP(Tabla3_1[[#This Row],[añpo]],ipc!$A:$D,4,FALSE),Tabla3_1[[#This Row],[Valor]])</f>
        <v/>
      </c>
    </row>
    <row r="670">
      <c r="A670" t="n">
        <v>2018</v>
      </c>
      <c r="B670" t="inlineStr">
        <is>
          <t>UVAs</t>
        </is>
      </c>
      <c r="C670" t="inlineStr">
        <is>
          <t>Títulos públicos</t>
        </is>
      </c>
      <c r="E670">
        <f>IF(OR(Tabla3_1[[#This Row],[moneda]]="Total en ARS",Tabla3_1[[#This Row],[moneda]]="pesos"),Tabla3_1[[#This Row],[Valor]]*VLOOKUP(Tabla3_1[[#This Row],[añpo]],ipc!$A:$D,4,FALSE),Tabla3_1[[#This Row],[Valor]])</f>
        <v/>
      </c>
    </row>
    <row r="671">
      <c r="A671" t="n">
        <v>2018</v>
      </c>
      <c r="B671" t="inlineStr">
        <is>
          <t>UVAs</t>
        </is>
      </c>
      <c r="C671" t="inlineStr">
        <is>
          <t>Letras del Tesoro Ley 3395 art. 2</t>
        </is>
      </c>
      <c r="E671">
        <f>IF(OR(Tabla3_1[[#This Row],[moneda]]="Total en ARS",Tabla3_1[[#This Row],[moneda]]="pesos"),Tabla3_1[[#This Row],[Valor]]*VLOOKUP(Tabla3_1[[#This Row],[añpo]],ipc!$A:$D,4,FALSE),Tabla3_1[[#This Row],[Valor]])</f>
        <v/>
      </c>
    </row>
    <row r="672">
      <c r="A672" t="n">
        <v>2018</v>
      </c>
      <c r="B672" t="inlineStr">
        <is>
          <t>UVAs</t>
        </is>
      </c>
      <c r="C672" t="inlineStr">
        <is>
          <t xml:space="preserve">Deuda financiera </t>
        </is>
      </c>
      <c r="D672" t="n">
        <v>43.7958</v>
      </c>
      <c r="E672">
        <f>IF(OR(Tabla3_1[[#This Row],[moneda]]="Total en ARS",Tabla3_1[[#This Row],[moneda]]="pesos"),Tabla3_1[[#This Row],[Valor]]*VLOOKUP(Tabla3_1[[#This Row],[añpo]],ipc!$A:$D,4,FALSE),Tabla3_1[[#This Row],[Valor]])</f>
        <v/>
      </c>
    </row>
    <row r="673">
      <c r="A673" t="n">
        <v>2018</v>
      </c>
      <c r="B673" t="inlineStr">
        <is>
          <t>UVAs</t>
        </is>
      </c>
      <c r="C673" t="inlineStr">
        <is>
          <t>Organismos internacionales de crédito</t>
        </is>
      </c>
      <c r="E673">
        <f>IF(OR(Tabla3_1[[#This Row],[moneda]]="Total en ARS",Tabla3_1[[#This Row],[moneda]]="pesos"),Tabla3_1[[#This Row],[Valor]]*VLOOKUP(Tabla3_1[[#This Row],[añpo]],ipc!$A:$D,4,FALSE),Tabla3_1[[#This Row],[Valor]])</f>
        <v/>
      </c>
    </row>
    <row r="674">
      <c r="A674" t="n">
        <v>2018</v>
      </c>
      <c r="B674" t="inlineStr">
        <is>
          <t>UVAs</t>
        </is>
      </c>
      <c r="C674" t="inlineStr">
        <is>
          <t>Garantías y/o avales</t>
        </is>
      </c>
      <c r="E674">
        <f>IF(OR(Tabla3_1[[#This Row],[moneda]]="Total en ARS",Tabla3_1[[#This Row],[moneda]]="pesos"),Tabla3_1[[#This Row],[Valor]]*VLOOKUP(Tabla3_1[[#This Row],[añpo]],ipc!$A:$D,4,FALSE),Tabla3_1[[#This Row],[Valor]])</f>
        <v/>
      </c>
    </row>
    <row r="675">
      <c r="A675" t="n">
        <v>2018</v>
      </c>
      <c r="B675" t="inlineStr">
        <is>
          <t>UVAs</t>
        </is>
      </c>
      <c r="C675" t="inlineStr">
        <is>
          <t>Acuerdo OSPLAD</t>
        </is>
      </c>
      <c r="E675">
        <f>IF(OR(Tabla3_1[[#This Row],[moneda]]="Total en ARS",Tabla3_1[[#This Row],[moneda]]="pesos"),Tabla3_1[[#This Row],[Valor]]*VLOOKUP(Tabla3_1[[#This Row],[añpo]],ipc!$A:$D,4,FALSE),Tabla3_1[[#This Row],[Valor]])</f>
        <v/>
      </c>
    </row>
    <row r="676">
      <c r="A676" t="n">
        <v>2018</v>
      </c>
      <c r="B676" t="inlineStr">
        <is>
          <t>UVAs</t>
        </is>
      </c>
      <c r="C676" t="inlineStr">
        <is>
          <t>Préstamo ANSES - Ley 5603</t>
        </is>
      </c>
      <c r="E676">
        <f>IF(OR(Tabla3_1[[#This Row],[moneda]]="Total en ARS",Tabla3_1[[#This Row],[moneda]]="pesos"),Tabla3_1[[#This Row],[Valor]]*VLOOKUP(Tabla3_1[[#This Row],[añpo]],ipc!$A:$D,4,FALSE),Tabla3_1[[#This Row],[Valor]])</f>
        <v/>
      </c>
    </row>
    <row r="677">
      <c r="A677" t="n">
        <v>2019</v>
      </c>
      <c r="B677" t="inlineStr">
        <is>
          <t>Total en ARS</t>
        </is>
      </c>
      <c r="C677" t="inlineStr">
        <is>
          <t>Proveedores y Contratistas</t>
        </is>
      </c>
      <c r="D677" t="n">
        <v>226096.417675</v>
      </c>
      <c r="E677">
        <f>IF(OR(Tabla3_1[[#This Row],[moneda]]="Total en ARS",Tabla3_1[[#This Row],[moneda]]="pesos"),Tabla3_1[[#This Row],[Valor]]*VLOOKUP(Tabla3_1[[#This Row],[añpo]],ipc!$A:$D,4,FALSE),Tabla3_1[[#This Row],[Valor]])</f>
        <v/>
      </c>
    </row>
    <row r="678">
      <c r="A678" t="n">
        <v>2019</v>
      </c>
      <c r="B678" t="inlineStr">
        <is>
          <t>Total en ARS</t>
        </is>
      </c>
      <c r="C678" t="inlineStr">
        <is>
          <t>Deuda previsional</t>
        </is>
      </c>
      <c r="D678" t="n">
        <v>43502.43257</v>
      </c>
      <c r="E678">
        <f>IF(OR(Tabla3_1[[#This Row],[moneda]]="Total en ARS",Tabla3_1[[#This Row],[moneda]]="pesos"),Tabla3_1[[#This Row],[Valor]]*VLOOKUP(Tabla3_1[[#This Row],[añpo]],ipc!$A:$D,4,FALSE),Tabla3_1[[#This Row],[Valor]])</f>
        <v/>
      </c>
    </row>
    <row r="679">
      <c r="A679" t="n">
        <v>2019</v>
      </c>
      <c r="B679" t="inlineStr">
        <is>
          <t>Total en ARS</t>
        </is>
      </c>
      <c r="C679" t="inlineStr">
        <is>
          <t>Títulos públicos</t>
        </is>
      </c>
      <c r="D679" t="n">
        <v>32.9536</v>
      </c>
      <c r="E679">
        <f>IF(OR(Tabla3_1[[#This Row],[moneda]]="Total en ARS",Tabla3_1[[#This Row],[moneda]]="pesos"),Tabla3_1[[#This Row],[Valor]]*VLOOKUP(Tabla3_1[[#This Row],[añpo]],ipc!$A:$D,4,FALSE),Tabla3_1[[#This Row],[Valor]])</f>
        <v/>
      </c>
    </row>
    <row r="680">
      <c r="A680" t="n">
        <v>2019</v>
      </c>
      <c r="B680" t="inlineStr">
        <is>
          <t>Total en ARS</t>
        </is>
      </c>
      <c r="C680" t="inlineStr">
        <is>
          <t>Letras del Tesoro Ley 3395 art. 2</t>
        </is>
      </c>
      <c r="E680">
        <f>IF(OR(Tabla3_1[[#This Row],[moneda]]="Total en ARS",Tabla3_1[[#This Row],[moneda]]="pesos"),Tabla3_1[[#This Row],[Valor]]*VLOOKUP(Tabla3_1[[#This Row],[añpo]],ipc!$A:$D,4,FALSE),Tabla3_1[[#This Row],[Valor]])</f>
        <v/>
      </c>
    </row>
    <row r="681">
      <c r="A681" t="n">
        <v>2019</v>
      </c>
      <c r="B681" t="inlineStr">
        <is>
          <t>Total en ARS</t>
        </is>
      </c>
      <c r="C681" t="inlineStr">
        <is>
          <t xml:space="preserve">Deuda financiera </t>
        </is>
      </c>
      <c r="D681" t="n">
        <v>1538.1574</v>
      </c>
      <c r="E681">
        <f>IF(OR(Tabla3_1[[#This Row],[moneda]]="Total en ARS",Tabla3_1[[#This Row],[moneda]]="pesos"),Tabla3_1[[#This Row],[Valor]]*VLOOKUP(Tabla3_1[[#This Row],[añpo]],ipc!$A:$D,4,FALSE),Tabla3_1[[#This Row],[Valor]])</f>
        <v/>
      </c>
    </row>
    <row r="682">
      <c r="A682" t="n">
        <v>2019</v>
      </c>
      <c r="B682" t="inlineStr">
        <is>
          <t>Total en ARS</t>
        </is>
      </c>
      <c r="C682" t="inlineStr">
        <is>
          <t>Organismos internacionales de crédito</t>
        </is>
      </c>
      <c r="D682" t="n">
        <v>38754.107734</v>
      </c>
      <c r="E682">
        <f>IF(OR(Tabla3_1[[#This Row],[moneda]]="Total en ARS",Tabla3_1[[#This Row],[moneda]]="pesos"),Tabla3_1[[#This Row],[Valor]]*VLOOKUP(Tabla3_1[[#This Row],[añpo]],ipc!$A:$D,4,FALSE),Tabla3_1[[#This Row],[Valor]])</f>
        <v/>
      </c>
    </row>
    <row r="683">
      <c r="A683" t="n">
        <v>2019</v>
      </c>
      <c r="B683" t="inlineStr">
        <is>
          <t>Total en ARS</t>
        </is>
      </c>
      <c r="C683" t="inlineStr">
        <is>
          <t>Garantías y/o avales</t>
        </is>
      </c>
      <c r="D683" t="n">
        <v>11654.659879</v>
      </c>
      <c r="E683">
        <f>IF(OR(Tabla3_1[[#This Row],[moneda]]="Total en ARS",Tabla3_1[[#This Row],[moneda]]="pesos"),Tabla3_1[[#This Row],[Valor]]*VLOOKUP(Tabla3_1[[#This Row],[añpo]],ipc!$A:$D,4,FALSE),Tabla3_1[[#This Row],[Valor]])</f>
        <v/>
      </c>
    </row>
    <row r="684">
      <c r="A684" t="n">
        <v>2019</v>
      </c>
      <c r="B684" t="inlineStr">
        <is>
          <t>Total en ARS</t>
        </is>
      </c>
      <c r="C684" t="inlineStr">
        <is>
          <t>Acuerdo OSPLAD</t>
        </is>
      </c>
      <c r="E684">
        <f>IF(OR(Tabla3_1[[#This Row],[moneda]]="Total en ARS",Tabla3_1[[#This Row],[moneda]]="pesos"),Tabla3_1[[#This Row],[Valor]]*VLOOKUP(Tabla3_1[[#This Row],[añpo]],ipc!$A:$D,4,FALSE),Tabla3_1[[#This Row],[Valor]])</f>
        <v/>
      </c>
    </row>
    <row r="685">
      <c r="A685" t="n">
        <v>2019</v>
      </c>
      <c r="B685" t="inlineStr">
        <is>
          <t>Total en ARS</t>
        </is>
      </c>
      <c r="C685" t="inlineStr">
        <is>
          <t>Préstamo ANSES - Ley 5603</t>
        </is>
      </c>
      <c r="D685" t="n">
        <v>7766.6479</v>
      </c>
      <c r="E685">
        <f>IF(OR(Tabla3_1[[#This Row],[moneda]]="Total en ARS",Tabla3_1[[#This Row],[moneda]]="pesos"),Tabla3_1[[#This Row],[Valor]]*VLOOKUP(Tabla3_1[[#This Row],[añpo]],ipc!$A:$D,4,FALSE),Tabla3_1[[#This Row],[Valor]])</f>
        <v/>
      </c>
    </row>
    <row r="686">
      <c r="A686" t="n">
        <v>2019</v>
      </c>
      <c r="B686" t="inlineStr">
        <is>
          <t>pesos</t>
        </is>
      </c>
      <c r="C686" t="inlineStr">
        <is>
          <t>Proveedores y Contratistas</t>
        </is>
      </c>
      <c r="D686" t="n">
        <v>99971.78389999999</v>
      </c>
      <c r="E686">
        <f>IF(OR(Tabla3_1[[#This Row],[moneda]]="Total en ARS",Tabla3_1[[#This Row],[moneda]]="pesos"),Tabla3_1[[#This Row],[Valor]]*VLOOKUP(Tabla3_1[[#This Row],[añpo]],ipc!$A:$D,4,FALSE),Tabla3_1[[#This Row],[Valor]])</f>
        <v/>
      </c>
    </row>
    <row r="687">
      <c r="A687" t="n">
        <v>2019</v>
      </c>
      <c r="B687" t="inlineStr">
        <is>
          <t>pesos</t>
        </is>
      </c>
      <c r="C687" t="inlineStr">
        <is>
          <t>Deuda previsional</t>
        </is>
      </c>
      <c r="D687" t="n">
        <v>43464.5338</v>
      </c>
      <c r="E687">
        <f>IF(OR(Tabla3_1[[#This Row],[moneda]]="Total en ARS",Tabla3_1[[#This Row],[moneda]]="pesos"),Tabla3_1[[#This Row],[Valor]]*VLOOKUP(Tabla3_1[[#This Row],[añpo]],ipc!$A:$D,4,FALSE),Tabla3_1[[#This Row],[Valor]])</f>
        <v/>
      </c>
    </row>
    <row r="688">
      <c r="A688" t="n">
        <v>2019</v>
      </c>
      <c r="B688" t="inlineStr">
        <is>
          <t>pesos</t>
        </is>
      </c>
      <c r="C688" t="inlineStr">
        <is>
          <t>Títulos públicos</t>
        </is>
      </c>
      <c r="D688" t="n">
        <v>32.9536</v>
      </c>
      <c r="E688">
        <f>IF(OR(Tabla3_1[[#This Row],[moneda]]="Total en ARS",Tabla3_1[[#This Row],[moneda]]="pesos"),Tabla3_1[[#This Row],[Valor]]*VLOOKUP(Tabla3_1[[#This Row],[añpo]],ipc!$A:$D,4,FALSE),Tabla3_1[[#This Row],[Valor]])</f>
        <v/>
      </c>
    </row>
    <row r="689">
      <c r="A689" t="n">
        <v>2019</v>
      </c>
      <c r="B689" t="inlineStr">
        <is>
          <t>pesos</t>
        </is>
      </c>
      <c r="C689" t="inlineStr">
        <is>
          <t>Letras del Tesoro Ley 3395 art. 2</t>
        </is>
      </c>
      <c r="E689">
        <f>IF(OR(Tabla3_1[[#This Row],[moneda]]="Total en ARS",Tabla3_1[[#This Row],[moneda]]="pesos"),Tabla3_1[[#This Row],[Valor]]*VLOOKUP(Tabla3_1[[#This Row],[añpo]],ipc!$A:$D,4,FALSE),Tabla3_1[[#This Row],[Valor]])</f>
        <v/>
      </c>
    </row>
    <row r="690">
      <c r="A690" t="n">
        <v>2019</v>
      </c>
      <c r="B690" t="inlineStr">
        <is>
          <t>pesos</t>
        </is>
      </c>
      <c r="C690" t="inlineStr">
        <is>
          <t xml:space="preserve">Deuda financiera </t>
        </is>
      </c>
      <c r="E690">
        <f>IF(OR(Tabla3_1[[#This Row],[moneda]]="Total en ARS",Tabla3_1[[#This Row],[moneda]]="pesos"),Tabla3_1[[#This Row],[Valor]]*VLOOKUP(Tabla3_1[[#This Row],[añpo]],ipc!$A:$D,4,FALSE),Tabla3_1[[#This Row],[Valor]])</f>
        <v/>
      </c>
    </row>
    <row r="691">
      <c r="A691" t="n">
        <v>2019</v>
      </c>
      <c r="B691" t="inlineStr">
        <is>
          <t>pesos</t>
        </is>
      </c>
      <c r="C691" t="inlineStr">
        <is>
          <t>Organismos internacionales de crédito</t>
        </is>
      </c>
      <c r="D691" t="n">
        <v>924.687</v>
      </c>
      <c r="E691">
        <f>IF(OR(Tabla3_1[[#This Row],[moneda]]="Total en ARS",Tabla3_1[[#This Row],[moneda]]="pesos"),Tabla3_1[[#This Row],[Valor]]*VLOOKUP(Tabla3_1[[#This Row],[añpo]],ipc!$A:$D,4,FALSE),Tabla3_1[[#This Row],[Valor]])</f>
        <v/>
      </c>
    </row>
    <row r="692">
      <c r="A692" t="n">
        <v>2019</v>
      </c>
      <c r="B692" t="inlineStr">
        <is>
          <t>pesos</t>
        </is>
      </c>
      <c r="C692" t="inlineStr">
        <is>
          <t>Garantías y/o avales</t>
        </is>
      </c>
      <c r="E692">
        <f>IF(OR(Tabla3_1[[#This Row],[moneda]]="Total en ARS",Tabla3_1[[#This Row],[moneda]]="pesos"),Tabla3_1[[#This Row],[Valor]]*VLOOKUP(Tabla3_1[[#This Row],[añpo]],ipc!$A:$D,4,FALSE),Tabla3_1[[#This Row],[Valor]])</f>
        <v/>
      </c>
    </row>
    <row r="693">
      <c r="A693" t="n">
        <v>2019</v>
      </c>
      <c r="B693" t="inlineStr">
        <is>
          <t>pesos</t>
        </is>
      </c>
      <c r="C693" t="inlineStr">
        <is>
          <t>Acuerdo OSPLAD</t>
        </is>
      </c>
      <c r="E693">
        <f>IF(OR(Tabla3_1[[#This Row],[moneda]]="Total en ARS",Tabla3_1[[#This Row],[moneda]]="pesos"),Tabla3_1[[#This Row],[Valor]]*VLOOKUP(Tabla3_1[[#This Row],[añpo]],ipc!$A:$D,4,FALSE),Tabla3_1[[#This Row],[Valor]])</f>
        <v/>
      </c>
    </row>
    <row r="694">
      <c r="A694" t="n">
        <v>2019</v>
      </c>
      <c r="B694" t="inlineStr">
        <is>
          <t>pesos</t>
        </is>
      </c>
      <c r="C694" t="inlineStr">
        <is>
          <t>Préstamo ANSES - Ley 5603</t>
        </is>
      </c>
      <c r="D694" t="n">
        <v>7766.6479</v>
      </c>
      <c r="E694">
        <f>IF(OR(Tabla3_1[[#This Row],[moneda]]="Total en ARS",Tabla3_1[[#This Row],[moneda]]="pesos"),Tabla3_1[[#This Row],[Valor]]*VLOOKUP(Tabla3_1[[#This Row],[añpo]],ipc!$A:$D,4,FALSE),Tabla3_1[[#This Row],[Valor]])</f>
        <v/>
      </c>
    </row>
    <row r="695">
      <c r="A695" t="n">
        <v>2019</v>
      </c>
      <c r="B695" t="inlineStr">
        <is>
          <t>dólares</t>
        </is>
      </c>
      <c r="C695" t="inlineStr">
        <is>
          <t>Proveedores y Contratistas</t>
        </is>
      </c>
      <c r="D695" t="n">
        <v>2064.4822</v>
      </c>
      <c r="E695">
        <f>IF(OR(Tabla3_1[[#This Row],[moneda]]="Total en ARS",Tabla3_1[[#This Row],[moneda]]="pesos"),Tabla3_1[[#This Row],[Valor]]*VLOOKUP(Tabla3_1[[#This Row],[añpo]],ipc!$A:$D,4,FALSE),Tabla3_1[[#This Row],[Valor]])</f>
        <v/>
      </c>
    </row>
    <row r="696">
      <c r="A696" t="n">
        <v>2019</v>
      </c>
      <c r="B696" t="inlineStr">
        <is>
          <t>dólares</t>
        </is>
      </c>
      <c r="C696" t="inlineStr">
        <is>
          <t>Deuda previsional</t>
        </is>
      </c>
      <c r="D696" t="n">
        <v>0.6193</v>
      </c>
      <c r="E696">
        <f>IF(OR(Tabla3_1[[#This Row],[moneda]]="Total en ARS",Tabla3_1[[#This Row],[moneda]]="pesos"),Tabla3_1[[#This Row],[Valor]]*VLOOKUP(Tabla3_1[[#This Row],[añpo]],ipc!$A:$D,4,FALSE),Tabla3_1[[#This Row],[Valor]])</f>
        <v/>
      </c>
    </row>
    <row r="697">
      <c r="A697" t="n">
        <v>2019</v>
      </c>
      <c r="B697" t="inlineStr">
        <is>
          <t>dólares</t>
        </is>
      </c>
      <c r="C697" t="inlineStr">
        <is>
          <t>Títulos públicos</t>
        </is>
      </c>
      <c r="E697">
        <f>IF(OR(Tabla3_1[[#This Row],[moneda]]="Total en ARS",Tabla3_1[[#This Row],[moneda]]="pesos"),Tabla3_1[[#This Row],[Valor]]*VLOOKUP(Tabla3_1[[#This Row],[añpo]],ipc!$A:$D,4,FALSE),Tabla3_1[[#This Row],[Valor]])</f>
        <v/>
      </c>
    </row>
    <row r="698">
      <c r="A698" t="n">
        <v>2019</v>
      </c>
      <c r="B698" t="inlineStr">
        <is>
          <t>dólares</t>
        </is>
      </c>
      <c r="C698" t="inlineStr">
        <is>
          <t>Letras del Tesoro Ley 3395 art. 2</t>
        </is>
      </c>
      <c r="E698">
        <f>IF(OR(Tabla3_1[[#This Row],[moneda]]="Total en ARS",Tabla3_1[[#This Row],[moneda]]="pesos"),Tabla3_1[[#This Row],[Valor]]*VLOOKUP(Tabla3_1[[#This Row],[añpo]],ipc!$A:$D,4,FALSE),Tabla3_1[[#This Row],[Valor]])</f>
        <v/>
      </c>
    </row>
    <row r="699">
      <c r="A699" t="n">
        <v>2019</v>
      </c>
      <c r="B699" t="inlineStr">
        <is>
          <t>dólares</t>
        </is>
      </c>
      <c r="C699" t="inlineStr">
        <is>
          <t xml:space="preserve">Deuda financiera </t>
        </is>
      </c>
      <c r="E699">
        <f>IF(OR(Tabla3_1[[#This Row],[moneda]]="Total en ARS",Tabla3_1[[#This Row],[moneda]]="pesos"),Tabla3_1[[#This Row],[Valor]]*VLOOKUP(Tabla3_1[[#This Row],[añpo]],ipc!$A:$D,4,FALSE),Tabla3_1[[#This Row],[Valor]])</f>
        <v/>
      </c>
    </row>
    <row r="700">
      <c r="A700" t="n">
        <v>2019</v>
      </c>
      <c r="B700" t="inlineStr">
        <is>
          <t>dólares</t>
        </is>
      </c>
      <c r="C700" t="inlineStr">
        <is>
          <t>Organismos internacionales de crédito</t>
        </is>
      </c>
      <c r="D700" t="n">
        <v>615.889</v>
      </c>
      <c r="E700">
        <f>IF(OR(Tabla3_1[[#This Row],[moneda]]="Total en ARS",Tabla3_1[[#This Row],[moneda]]="pesos"),Tabla3_1[[#This Row],[Valor]]*VLOOKUP(Tabla3_1[[#This Row],[añpo]],ipc!$A:$D,4,FALSE),Tabla3_1[[#This Row],[Valor]])</f>
        <v/>
      </c>
    </row>
    <row r="701">
      <c r="A701" t="n">
        <v>2019</v>
      </c>
      <c r="B701" t="inlineStr">
        <is>
          <t>dólares</t>
        </is>
      </c>
      <c r="C701" t="inlineStr">
        <is>
          <t>Garantías y/o avales</t>
        </is>
      </c>
      <c r="D701" t="n">
        <v>194.6011</v>
      </c>
      <c r="E701">
        <f>IF(OR(Tabla3_1[[#This Row],[moneda]]="Total en ARS",Tabla3_1[[#This Row],[moneda]]="pesos"),Tabla3_1[[#This Row],[Valor]]*VLOOKUP(Tabla3_1[[#This Row],[añpo]],ipc!$A:$D,4,FALSE),Tabla3_1[[#This Row],[Valor]])</f>
        <v/>
      </c>
    </row>
    <row r="702">
      <c r="A702" t="n">
        <v>2019</v>
      </c>
      <c r="B702" t="inlineStr">
        <is>
          <t>dólares</t>
        </is>
      </c>
      <c r="C702" t="inlineStr">
        <is>
          <t>Acuerdo OSPLAD</t>
        </is>
      </c>
      <c r="E702">
        <f>IF(OR(Tabla3_1[[#This Row],[moneda]]="Total en ARS",Tabla3_1[[#This Row],[moneda]]="pesos"),Tabla3_1[[#This Row],[Valor]]*VLOOKUP(Tabla3_1[[#This Row],[añpo]],ipc!$A:$D,4,FALSE),Tabla3_1[[#This Row],[Valor]])</f>
        <v/>
      </c>
    </row>
    <row r="703">
      <c r="A703" t="n">
        <v>2019</v>
      </c>
      <c r="B703" t="inlineStr">
        <is>
          <t>dólares</t>
        </is>
      </c>
      <c r="C703" t="inlineStr">
        <is>
          <t>Préstamo ANSES - Ley 5603</t>
        </is>
      </c>
      <c r="E703">
        <f>IF(OR(Tabla3_1[[#This Row],[moneda]]="Total en ARS",Tabla3_1[[#This Row],[moneda]]="pesos"),Tabla3_1[[#This Row],[Valor]]*VLOOKUP(Tabla3_1[[#This Row],[añpo]],ipc!$A:$D,4,FALSE),Tabla3_1[[#This Row],[Valor]])</f>
        <v/>
      </c>
    </row>
    <row r="704">
      <c r="A704" t="n">
        <v>2019</v>
      </c>
      <c r="B704" t="inlineStr">
        <is>
          <t xml:space="preserve">  euros</t>
        </is>
      </c>
      <c r="C704" t="inlineStr">
        <is>
          <t>Proveedores y Contratistas</t>
        </is>
      </c>
      <c r="D704" t="n">
        <v>14.0388</v>
      </c>
      <c r="E704">
        <f>IF(OR(Tabla3_1[[#This Row],[moneda]]="Total en ARS",Tabla3_1[[#This Row],[moneda]]="pesos"),Tabla3_1[[#This Row],[Valor]]*VLOOKUP(Tabla3_1[[#This Row],[añpo]],ipc!$A:$D,4,FALSE),Tabla3_1[[#This Row],[Valor]])</f>
        <v/>
      </c>
    </row>
    <row r="705">
      <c r="A705" t="n">
        <v>2019</v>
      </c>
      <c r="B705" t="inlineStr">
        <is>
          <t xml:space="preserve">  euros</t>
        </is>
      </c>
      <c r="C705" t="inlineStr">
        <is>
          <t>Deuda previsional</t>
        </is>
      </c>
      <c r="E705">
        <f>IF(OR(Tabla3_1[[#This Row],[moneda]]="Total en ARS",Tabla3_1[[#This Row],[moneda]]="pesos"),Tabla3_1[[#This Row],[Valor]]*VLOOKUP(Tabla3_1[[#This Row],[añpo]],ipc!$A:$D,4,FALSE),Tabla3_1[[#This Row],[Valor]])</f>
        <v/>
      </c>
    </row>
    <row r="706">
      <c r="A706" t="n">
        <v>2019</v>
      </c>
      <c r="B706" t="inlineStr">
        <is>
          <t xml:space="preserve">  euros</t>
        </is>
      </c>
      <c r="C706" t="inlineStr">
        <is>
          <t>Títulos públicos</t>
        </is>
      </c>
      <c r="E706">
        <f>IF(OR(Tabla3_1[[#This Row],[moneda]]="Total en ARS",Tabla3_1[[#This Row],[moneda]]="pesos"),Tabla3_1[[#This Row],[Valor]]*VLOOKUP(Tabla3_1[[#This Row],[añpo]],ipc!$A:$D,4,FALSE),Tabla3_1[[#This Row],[Valor]])</f>
        <v/>
      </c>
    </row>
    <row r="707">
      <c r="A707" t="n">
        <v>2019</v>
      </c>
      <c r="B707" t="inlineStr">
        <is>
          <t xml:space="preserve">  euros</t>
        </is>
      </c>
      <c r="C707" t="inlineStr">
        <is>
          <t>Letras del Tesoro Ley 3395 art. 2</t>
        </is>
      </c>
      <c r="E707">
        <f>IF(OR(Tabla3_1[[#This Row],[moneda]]="Total en ARS",Tabla3_1[[#This Row],[moneda]]="pesos"),Tabla3_1[[#This Row],[Valor]]*VLOOKUP(Tabla3_1[[#This Row],[añpo]],ipc!$A:$D,4,FALSE),Tabla3_1[[#This Row],[Valor]])</f>
        <v/>
      </c>
    </row>
    <row r="708">
      <c r="A708" t="n">
        <v>2019</v>
      </c>
      <c r="B708" t="inlineStr">
        <is>
          <t xml:space="preserve">  euros</t>
        </is>
      </c>
      <c r="C708" t="inlineStr">
        <is>
          <t xml:space="preserve">Deuda financiera </t>
        </is>
      </c>
      <c r="E708">
        <f>IF(OR(Tabla3_1[[#This Row],[moneda]]="Total en ARS",Tabla3_1[[#This Row],[moneda]]="pesos"),Tabla3_1[[#This Row],[Valor]]*VLOOKUP(Tabla3_1[[#This Row],[añpo]],ipc!$A:$D,4,FALSE),Tabla3_1[[#This Row],[Valor]])</f>
        <v/>
      </c>
    </row>
    <row r="709">
      <c r="A709" t="n">
        <v>2019</v>
      </c>
      <c r="B709" t="inlineStr">
        <is>
          <t xml:space="preserve">  euros</t>
        </is>
      </c>
      <c r="C709" t="inlineStr">
        <is>
          <t>Organismos internacionales de crédito</t>
        </is>
      </c>
      <c r="D709" t="n">
        <v>14.0388</v>
      </c>
      <c r="E709">
        <f>IF(OR(Tabla3_1[[#This Row],[moneda]]="Total en ARS",Tabla3_1[[#This Row],[moneda]]="pesos"),Tabla3_1[[#This Row],[Valor]]*VLOOKUP(Tabla3_1[[#This Row],[añpo]],ipc!$A:$D,4,FALSE),Tabla3_1[[#This Row],[Valor]])</f>
        <v/>
      </c>
    </row>
    <row r="710">
      <c r="A710" t="n">
        <v>2019</v>
      </c>
      <c r="B710" t="inlineStr">
        <is>
          <t xml:space="preserve">  euros</t>
        </is>
      </c>
      <c r="C710" t="inlineStr">
        <is>
          <t>Garantías y/o avales</t>
        </is>
      </c>
      <c r="E710">
        <f>IF(OR(Tabla3_1[[#This Row],[moneda]]="Total en ARS",Tabla3_1[[#This Row],[moneda]]="pesos"),Tabla3_1[[#This Row],[Valor]]*VLOOKUP(Tabla3_1[[#This Row],[añpo]],ipc!$A:$D,4,FALSE),Tabla3_1[[#This Row],[Valor]])</f>
        <v/>
      </c>
    </row>
    <row r="711">
      <c r="A711" t="n">
        <v>2019</v>
      </c>
      <c r="B711" t="inlineStr">
        <is>
          <t xml:space="preserve">  euros</t>
        </is>
      </c>
      <c r="C711" t="inlineStr">
        <is>
          <t>Acuerdo OSPLAD</t>
        </is>
      </c>
      <c r="E711">
        <f>IF(OR(Tabla3_1[[#This Row],[moneda]]="Total en ARS",Tabla3_1[[#This Row],[moneda]]="pesos"),Tabla3_1[[#This Row],[Valor]]*VLOOKUP(Tabla3_1[[#This Row],[añpo]],ipc!$A:$D,4,FALSE),Tabla3_1[[#This Row],[Valor]])</f>
        <v/>
      </c>
    </row>
    <row r="712">
      <c r="A712" t="n">
        <v>2019</v>
      </c>
      <c r="B712" t="inlineStr">
        <is>
          <t xml:space="preserve">  euros</t>
        </is>
      </c>
      <c r="C712" t="inlineStr">
        <is>
          <t>Préstamo ANSES - Ley 5603</t>
        </is>
      </c>
      <c r="E712">
        <f>IF(OR(Tabla3_1[[#This Row],[moneda]]="Total en ARS",Tabla3_1[[#This Row],[moneda]]="pesos"),Tabla3_1[[#This Row],[Valor]]*VLOOKUP(Tabla3_1[[#This Row],[añpo]],ipc!$A:$D,4,FALSE),Tabla3_1[[#This Row],[Valor]])</f>
        <v/>
      </c>
    </row>
    <row r="713">
      <c r="A713" t="n">
        <v>2019</v>
      </c>
      <c r="B713" t="inlineStr">
        <is>
          <t>UVAs</t>
        </is>
      </c>
      <c r="C713" t="inlineStr">
        <is>
          <t>Proveedores y Contratistas</t>
        </is>
      </c>
      <c r="D713" t="n">
        <v>32.6</v>
      </c>
      <c r="E713">
        <f>IF(OR(Tabla3_1[[#This Row],[moneda]]="Total en ARS",Tabla3_1[[#This Row],[moneda]]="pesos"),Tabla3_1[[#This Row],[Valor]]*VLOOKUP(Tabla3_1[[#This Row],[añpo]],ipc!$A:$D,4,FALSE),Tabla3_1[[#This Row],[Valor]])</f>
        <v/>
      </c>
    </row>
    <row r="714">
      <c r="A714" t="n">
        <v>2019</v>
      </c>
      <c r="B714" t="inlineStr">
        <is>
          <t>UVAs</t>
        </is>
      </c>
      <c r="C714" t="inlineStr">
        <is>
          <t>Deuda previsional</t>
        </is>
      </c>
      <c r="E714">
        <f>IF(OR(Tabla3_1[[#This Row],[moneda]]="Total en ARS",Tabla3_1[[#This Row],[moneda]]="pesos"),Tabla3_1[[#This Row],[Valor]]*VLOOKUP(Tabla3_1[[#This Row],[añpo]],ipc!$A:$D,4,FALSE),Tabla3_1[[#This Row],[Valor]])</f>
        <v/>
      </c>
    </row>
    <row r="715">
      <c r="A715" t="n">
        <v>2019</v>
      </c>
      <c r="B715" t="inlineStr">
        <is>
          <t>UVAs</t>
        </is>
      </c>
      <c r="C715" t="inlineStr">
        <is>
          <t>Títulos públicos</t>
        </is>
      </c>
      <c r="E715">
        <f>IF(OR(Tabla3_1[[#This Row],[moneda]]="Total en ARS",Tabla3_1[[#This Row],[moneda]]="pesos"),Tabla3_1[[#This Row],[Valor]]*VLOOKUP(Tabla3_1[[#This Row],[añpo]],ipc!$A:$D,4,FALSE),Tabla3_1[[#This Row],[Valor]])</f>
        <v/>
      </c>
    </row>
    <row r="716">
      <c r="A716" t="n">
        <v>2019</v>
      </c>
      <c r="B716" t="inlineStr">
        <is>
          <t>UVAs</t>
        </is>
      </c>
      <c r="C716" t="inlineStr">
        <is>
          <t>Letras del Tesoro Ley 3395 art. 2</t>
        </is>
      </c>
      <c r="E716">
        <f>IF(OR(Tabla3_1[[#This Row],[moneda]]="Total en ARS",Tabla3_1[[#This Row],[moneda]]="pesos"),Tabla3_1[[#This Row],[Valor]]*VLOOKUP(Tabla3_1[[#This Row],[añpo]],ipc!$A:$D,4,FALSE),Tabla3_1[[#This Row],[Valor]])</f>
        <v/>
      </c>
    </row>
    <row r="717">
      <c r="A717" t="n">
        <v>2019</v>
      </c>
      <c r="B717" t="inlineStr">
        <is>
          <t>UVAs</t>
        </is>
      </c>
      <c r="C717" t="inlineStr">
        <is>
          <t xml:space="preserve">Deuda financiera </t>
        </is>
      </c>
      <c r="D717" t="n">
        <v>32.6157</v>
      </c>
      <c r="E717">
        <f>IF(OR(Tabla3_1[[#This Row],[moneda]]="Total en ARS",Tabla3_1[[#This Row],[moneda]]="pesos"),Tabla3_1[[#This Row],[Valor]]*VLOOKUP(Tabla3_1[[#This Row],[añpo]],ipc!$A:$D,4,FALSE),Tabla3_1[[#This Row],[Valor]])</f>
        <v/>
      </c>
    </row>
    <row r="718">
      <c r="A718" t="n">
        <v>2019</v>
      </c>
      <c r="B718" t="inlineStr">
        <is>
          <t>UVAs</t>
        </is>
      </c>
      <c r="C718" t="inlineStr">
        <is>
          <t>Organismos internacionales de crédito</t>
        </is>
      </c>
      <c r="E718">
        <f>IF(OR(Tabla3_1[[#This Row],[moneda]]="Total en ARS",Tabla3_1[[#This Row],[moneda]]="pesos"),Tabla3_1[[#This Row],[Valor]]*VLOOKUP(Tabla3_1[[#This Row],[añpo]],ipc!$A:$D,4,FALSE),Tabla3_1[[#This Row],[Valor]])</f>
        <v/>
      </c>
    </row>
    <row r="719">
      <c r="A719" t="n">
        <v>2019</v>
      </c>
      <c r="B719" t="inlineStr">
        <is>
          <t>UVAs</t>
        </is>
      </c>
      <c r="C719" t="inlineStr">
        <is>
          <t>Garantías y/o avales</t>
        </is>
      </c>
      <c r="E719">
        <f>IF(OR(Tabla3_1[[#This Row],[moneda]]="Total en ARS",Tabla3_1[[#This Row],[moneda]]="pesos"),Tabla3_1[[#This Row],[Valor]]*VLOOKUP(Tabla3_1[[#This Row],[añpo]],ipc!$A:$D,4,FALSE),Tabla3_1[[#This Row],[Valor]])</f>
        <v/>
      </c>
    </row>
    <row r="720">
      <c r="A720" t="n">
        <v>2019</v>
      </c>
      <c r="B720" t="inlineStr">
        <is>
          <t>UVAs</t>
        </is>
      </c>
      <c r="C720" t="inlineStr">
        <is>
          <t>Acuerdo OSPLAD</t>
        </is>
      </c>
      <c r="E720">
        <f>IF(OR(Tabla3_1[[#This Row],[moneda]]="Total en ARS",Tabla3_1[[#This Row],[moneda]]="pesos"),Tabla3_1[[#This Row],[Valor]]*VLOOKUP(Tabla3_1[[#This Row],[añpo]],ipc!$A:$D,4,FALSE),Tabla3_1[[#This Row],[Valor]])</f>
        <v/>
      </c>
    </row>
    <row r="721">
      <c r="A721" t="n">
        <v>2019</v>
      </c>
      <c r="B721" t="inlineStr">
        <is>
          <t>UVAs</t>
        </is>
      </c>
      <c r="C721" t="inlineStr">
        <is>
          <t>Préstamo ANSES - Ley 5603</t>
        </is>
      </c>
      <c r="E721">
        <f>IF(OR(Tabla3_1[[#This Row],[moneda]]="Total en ARS",Tabla3_1[[#This Row],[moneda]]="pesos"),Tabla3_1[[#This Row],[Valor]]*VLOOKUP(Tabla3_1[[#This Row],[añpo]],ipc!$A:$D,4,FALSE),Tabla3_1[[#This Row],[Valor]])</f>
        <v/>
      </c>
    </row>
    <row r="722">
      <c r="A722" t="n">
        <v>2020</v>
      </c>
      <c r="B722" t="inlineStr">
        <is>
          <t>Total en ARS</t>
        </is>
      </c>
      <c r="C722" t="inlineStr">
        <is>
          <t>Proveedores y Contratistas</t>
        </is>
      </c>
      <c r="D722" t="n">
        <v>324857.847785</v>
      </c>
      <c r="E722">
        <f>IF(OR(Tabla3_1[[#This Row],[moneda]]="Total en ARS",Tabla3_1[[#This Row],[moneda]]="pesos"),Tabla3_1[[#This Row],[Valor]]*VLOOKUP(Tabla3_1[[#This Row],[añpo]],ipc!$A:$D,4,FALSE),Tabla3_1[[#This Row],[Valor]])</f>
        <v/>
      </c>
    </row>
    <row r="723">
      <c r="A723" t="n">
        <v>2020</v>
      </c>
      <c r="B723" t="inlineStr">
        <is>
          <t>Total en ARS</t>
        </is>
      </c>
      <c r="C723" t="inlineStr">
        <is>
          <t>Deuda previsional</t>
        </is>
      </c>
      <c r="D723" t="n">
        <v>61308.9274</v>
      </c>
      <c r="E723">
        <f>IF(OR(Tabla3_1[[#This Row],[moneda]]="Total en ARS",Tabla3_1[[#This Row],[moneda]]="pesos"),Tabla3_1[[#This Row],[Valor]]*VLOOKUP(Tabla3_1[[#This Row],[añpo]],ipc!$A:$D,4,FALSE),Tabla3_1[[#This Row],[Valor]])</f>
        <v/>
      </c>
    </row>
    <row r="724">
      <c r="A724" t="n">
        <v>2020</v>
      </c>
      <c r="B724" t="inlineStr">
        <is>
          <t>Total en ARS</t>
        </is>
      </c>
      <c r="C724" t="inlineStr">
        <is>
          <t>Títulos públicos</t>
        </is>
      </c>
      <c r="E724">
        <f>IF(OR(Tabla3_1[[#This Row],[moneda]]="Total en ARS",Tabla3_1[[#This Row],[moneda]]="pesos"),Tabla3_1[[#This Row],[Valor]]*VLOOKUP(Tabla3_1[[#This Row],[añpo]],ipc!$A:$D,4,FALSE),Tabla3_1[[#This Row],[Valor]])</f>
        <v/>
      </c>
    </row>
    <row r="725">
      <c r="A725" t="n">
        <v>2020</v>
      </c>
      <c r="B725" t="inlineStr">
        <is>
          <t>Total en ARS</t>
        </is>
      </c>
      <c r="C725" t="inlineStr">
        <is>
          <t>Letras del Tesoro Ley 3395 art. 2</t>
        </is>
      </c>
      <c r="E725">
        <f>IF(OR(Tabla3_1[[#This Row],[moneda]]="Total en ARS",Tabla3_1[[#This Row],[moneda]]="pesos"),Tabla3_1[[#This Row],[Valor]]*VLOOKUP(Tabla3_1[[#This Row],[añpo]],ipc!$A:$D,4,FALSE),Tabla3_1[[#This Row],[Valor]])</f>
        <v/>
      </c>
    </row>
    <row r="726">
      <c r="A726" t="n">
        <v>2020</v>
      </c>
      <c r="B726" t="inlineStr">
        <is>
          <t>Total en ARS</t>
        </is>
      </c>
      <c r="C726" t="inlineStr">
        <is>
          <t xml:space="preserve">Deuda financiera </t>
        </is>
      </c>
      <c r="D726" t="n">
        <v>1986.75</v>
      </c>
      <c r="E726">
        <f>IF(OR(Tabla3_1[[#This Row],[moneda]]="Total en ARS",Tabla3_1[[#This Row],[moneda]]="pesos"),Tabla3_1[[#This Row],[Valor]]*VLOOKUP(Tabla3_1[[#This Row],[añpo]],ipc!$A:$D,4,FALSE),Tabla3_1[[#This Row],[Valor]])</f>
        <v/>
      </c>
    </row>
    <row r="727">
      <c r="A727" t="n">
        <v>2020</v>
      </c>
      <c r="B727" t="inlineStr">
        <is>
          <t>Total en ARS</t>
        </is>
      </c>
      <c r="C727" t="inlineStr">
        <is>
          <t>Organismos internacionales de crédito</t>
        </is>
      </c>
      <c r="D727" t="n">
        <v>60431.68885500001</v>
      </c>
      <c r="E727">
        <f>IF(OR(Tabla3_1[[#This Row],[moneda]]="Total en ARS",Tabla3_1[[#This Row],[moneda]]="pesos"),Tabla3_1[[#This Row],[Valor]]*VLOOKUP(Tabla3_1[[#This Row],[añpo]],ipc!$A:$D,4,FALSE),Tabla3_1[[#This Row],[Valor]])</f>
        <v/>
      </c>
    </row>
    <row r="728">
      <c r="A728" t="n">
        <v>2020</v>
      </c>
      <c r="B728" t="inlineStr">
        <is>
          <t>Total en ARS</t>
        </is>
      </c>
      <c r="C728" t="inlineStr">
        <is>
          <t>Garantías y/o avales</t>
        </is>
      </c>
      <c r="D728" t="n">
        <v>15039.67509</v>
      </c>
      <c r="E728">
        <f>IF(OR(Tabla3_1[[#This Row],[moneda]]="Total en ARS",Tabla3_1[[#This Row],[moneda]]="pesos"),Tabla3_1[[#This Row],[Valor]]*VLOOKUP(Tabla3_1[[#This Row],[añpo]],ipc!$A:$D,4,FALSE),Tabla3_1[[#This Row],[Valor]])</f>
        <v/>
      </c>
    </row>
    <row r="729">
      <c r="A729" t="n">
        <v>2020</v>
      </c>
      <c r="B729" t="inlineStr">
        <is>
          <t>Total en ARS</t>
        </is>
      </c>
      <c r="C729" t="inlineStr">
        <is>
          <t>Acuerdo OSPLAD</t>
        </is>
      </c>
      <c r="E729">
        <f>IF(OR(Tabla3_1[[#This Row],[moneda]]="Total en ARS",Tabla3_1[[#This Row],[moneda]]="pesos"),Tabla3_1[[#This Row],[Valor]]*VLOOKUP(Tabla3_1[[#This Row],[añpo]],ipc!$A:$D,4,FALSE),Tabla3_1[[#This Row],[Valor]])</f>
        <v/>
      </c>
    </row>
    <row r="730">
      <c r="A730" t="n">
        <v>2020</v>
      </c>
      <c r="B730" t="inlineStr">
        <is>
          <t>Total en ARS</t>
        </is>
      </c>
      <c r="C730" t="inlineStr">
        <is>
          <t>Préstamo ANSES - Ley 5603</t>
        </is>
      </c>
      <c r="D730" t="n">
        <v>7939.8011</v>
      </c>
      <c r="E730">
        <f>IF(OR(Tabla3_1[[#This Row],[moneda]]="Total en ARS",Tabla3_1[[#This Row],[moneda]]="pesos"),Tabla3_1[[#This Row],[Valor]]*VLOOKUP(Tabla3_1[[#This Row],[añpo]],ipc!$A:$D,4,FALSE),Tabla3_1[[#This Row],[Valor]])</f>
        <v/>
      </c>
    </row>
    <row r="731">
      <c r="A731" t="n">
        <v>2020</v>
      </c>
      <c r="B731" t="inlineStr">
        <is>
          <t>pesos</t>
        </is>
      </c>
      <c r="C731" t="inlineStr">
        <is>
          <t>Proveedores y Contratistas</t>
        </is>
      </c>
      <c r="D731" t="n">
        <v>158134.0172</v>
      </c>
      <c r="E731">
        <f>IF(OR(Tabla3_1[[#This Row],[moneda]]="Total en ARS",Tabla3_1[[#This Row],[moneda]]="pesos"),Tabla3_1[[#This Row],[Valor]]*VLOOKUP(Tabla3_1[[#This Row],[añpo]],ipc!$A:$D,4,FALSE),Tabla3_1[[#This Row],[Valor]])</f>
        <v/>
      </c>
    </row>
    <row r="732">
      <c r="A732" t="n">
        <v>2020</v>
      </c>
      <c r="B732" t="inlineStr">
        <is>
          <t>pesos</t>
        </is>
      </c>
      <c r="C732" t="inlineStr">
        <is>
          <t>Deuda previsional</t>
        </is>
      </c>
      <c r="D732" t="n">
        <v>61308.9274</v>
      </c>
      <c r="E732">
        <f>IF(OR(Tabla3_1[[#This Row],[moneda]]="Total en ARS",Tabla3_1[[#This Row],[moneda]]="pesos"),Tabla3_1[[#This Row],[Valor]]*VLOOKUP(Tabla3_1[[#This Row],[añpo]],ipc!$A:$D,4,FALSE),Tabla3_1[[#This Row],[Valor]])</f>
        <v/>
      </c>
    </row>
    <row r="733">
      <c r="A733" t="n">
        <v>2020</v>
      </c>
      <c r="B733" t="inlineStr">
        <is>
          <t>pesos</t>
        </is>
      </c>
      <c r="C733" t="inlineStr">
        <is>
          <t>Títulos públicos</t>
        </is>
      </c>
      <c r="E733">
        <f>IF(OR(Tabla3_1[[#This Row],[moneda]]="Total en ARS",Tabla3_1[[#This Row],[moneda]]="pesos"),Tabla3_1[[#This Row],[Valor]]*VLOOKUP(Tabla3_1[[#This Row],[añpo]],ipc!$A:$D,4,FALSE),Tabla3_1[[#This Row],[Valor]])</f>
        <v/>
      </c>
    </row>
    <row r="734">
      <c r="A734" t="n">
        <v>2020</v>
      </c>
      <c r="B734" t="inlineStr">
        <is>
          <t>pesos</t>
        </is>
      </c>
      <c r="C734" t="inlineStr">
        <is>
          <t>Letras del Tesoro Ley 3395 art. 2</t>
        </is>
      </c>
      <c r="E734">
        <f>IF(OR(Tabla3_1[[#This Row],[moneda]]="Total en ARS",Tabla3_1[[#This Row],[moneda]]="pesos"),Tabla3_1[[#This Row],[Valor]]*VLOOKUP(Tabla3_1[[#This Row],[añpo]],ipc!$A:$D,4,FALSE),Tabla3_1[[#This Row],[Valor]])</f>
        <v/>
      </c>
    </row>
    <row r="735">
      <c r="A735" t="n">
        <v>2020</v>
      </c>
      <c r="B735" t="inlineStr">
        <is>
          <t>pesos</t>
        </is>
      </c>
      <c r="C735" t="inlineStr">
        <is>
          <t xml:space="preserve">Deuda financiera </t>
        </is>
      </c>
      <c r="E735">
        <f>IF(OR(Tabla3_1[[#This Row],[moneda]]="Total en ARS",Tabla3_1[[#This Row],[moneda]]="pesos"),Tabla3_1[[#This Row],[Valor]]*VLOOKUP(Tabla3_1[[#This Row],[añpo]],ipc!$A:$D,4,FALSE),Tabla3_1[[#This Row],[Valor]])</f>
        <v/>
      </c>
    </row>
    <row r="736">
      <c r="A736" t="n">
        <v>2020</v>
      </c>
      <c r="B736" t="inlineStr">
        <is>
          <t>pesos</t>
        </is>
      </c>
      <c r="C736" t="inlineStr">
        <is>
          <t>Organismos internacionales de crédito</t>
        </is>
      </c>
      <c r="D736" t="n">
        <v>897.1038</v>
      </c>
      <c r="E736">
        <f>IF(OR(Tabla3_1[[#This Row],[moneda]]="Total en ARS",Tabla3_1[[#This Row],[moneda]]="pesos"),Tabla3_1[[#This Row],[Valor]]*VLOOKUP(Tabla3_1[[#This Row],[añpo]],ipc!$A:$D,4,FALSE),Tabla3_1[[#This Row],[Valor]])</f>
        <v/>
      </c>
    </row>
    <row r="737">
      <c r="A737" t="n">
        <v>2020</v>
      </c>
      <c r="B737" t="inlineStr">
        <is>
          <t>pesos</t>
        </is>
      </c>
      <c r="C737" t="inlineStr">
        <is>
          <t>Garantías y/o avales</t>
        </is>
      </c>
      <c r="E737">
        <f>IF(OR(Tabla3_1[[#This Row],[moneda]]="Total en ARS",Tabla3_1[[#This Row],[moneda]]="pesos"),Tabla3_1[[#This Row],[Valor]]*VLOOKUP(Tabla3_1[[#This Row],[añpo]],ipc!$A:$D,4,FALSE),Tabla3_1[[#This Row],[Valor]])</f>
        <v/>
      </c>
    </row>
    <row r="738">
      <c r="A738" t="n">
        <v>2020</v>
      </c>
      <c r="B738" t="inlineStr">
        <is>
          <t>pesos</t>
        </is>
      </c>
      <c r="C738" t="inlineStr">
        <is>
          <t>Acuerdo OSPLAD</t>
        </is>
      </c>
      <c r="E738">
        <f>IF(OR(Tabla3_1[[#This Row],[moneda]]="Total en ARS",Tabla3_1[[#This Row],[moneda]]="pesos"),Tabla3_1[[#This Row],[Valor]]*VLOOKUP(Tabla3_1[[#This Row],[añpo]],ipc!$A:$D,4,FALSE),Tabla3_1[[#This Row],[Valor]])</f>
        <v/>
      </c>
    </row>
    <row r="739">
      <c r="A739" t="n">
        <v>2020</v>
      </c>
      <c r="B739" t="inlineStr">
        <is>
          <t>pesos</t>
        </is>
      </c>
      <c r="C739" t="inlineStr">
        <is>
          <t>Préstamo ANSES - Ley 5603</t>
        </is>
      </c>
      <c r="D739" t="n">
        <v>7939.8011</v>
      </c>
      <c r="E739">
        <f>IF(OR(Tabla3_1[[#This Row],[moneda]]="Total en ARS",Tabla3_1[[#This Row],[moneda]]="pesos"),Tabla3_1[[#This Row],[Valor]]*VLOOKUP(Tabla3_1[[#This Row],[añpo]],ipc!$A:$D,4,FALSE),Tabla3_1[[#This Row],[Valor]])</f>
        <v/>
      </c>
    </row>
    <row r="740">
      <c r="A740" t="n">
        <v>2020</v>
      </c>
      <c r="B740" t="inlineStr">
        <is>
          <t>dólares</t>
        </is>
      </c>
      <c r="C740" t="inlineStr">
        <is>
          <t>Proveedores y Contratistas</t>
        </is>
      </c>
      <c r="D740" t="n">
        <v>1957.6599</v>
      </c>
      <c r="E740">
        <f>IF(OR(Tabla3_1[[#This Row],[moneda]]="Total en ARS",Tabla3_1[[#This Row],[moneda]]="pesos"),Tabla3_1[[#This Row],[Valor]]*VLOOKUP(Tabla3_1[[#This Row],[añpo]],ipc!$A:$D,4,FALSE),Tabla3_1[[#This Row],[Valor]])</f>
        <v/>
      </c>
    </row>
    <row r="741">
      <c r="A741" t="n">
        <v>2020</v>
      </c>
      <c r="B741" t="inlineStr">
        <is>
          <t>dólares</t>
        </is>
      </c>
      <c r="C741" t="inlineStr">
        <is>
          <t>Deuda previsional</t>
        </is>
      </c>
      <c r="E741">
        <f>IF(OR(Tabla3_1[[#This Row],[moneda]]="Total en ARS",Tabla3_1[[#This Row],[moneda]]="pesos"),Tabla3_1[[#This Row],[Valor]]*VLOOKUP(Tabla3_1[[#This Row],[añpo]],ipc!$A:$D,4,FALSE),Tabla3_1[[#This Row],[Valor]])</f>
        <v/>
      </c>
    </row>
    <row r="742">
      <c r="A742" t="n">
        <v>2020</v>
      </c>
      <c r="B742" t="inlineStr">
        <is>
          <t>dólares</t>
        </is>
      </c>
      <c r="C742" t="inlineStr">
        <is>
          <t>Títulos públicos</t>
        </is>
      </c>
      <c r="E742">
        <f>IF(OR(Tabla3_1[[#This Row],[moneda]]="Total en ARS",Tabla3_1[[#This Row],[moneda]]="pesos"),Tabla3_1[[#This Row],[Valor]]*VLOOKUP(Tabla3_1[[#This Row],[añpo]],ipc!$A:$D,4,FALSE),Tabla3_1[[#This Row],[Valor]])</f>
        <v/>
      </c>
    </row>
    <row r="743">
      <c r="A743" t="n">
        <v>2020</v>
      </c>
      <c r="B743" t="inlineStr">
        <is>
          <t>dólares</t>
        </is>
      </c>
      <c r="C743" t="inlineStr">
        <is>
          <t>Letras del Tesoro Ley 3395 art. 2</t>
        </is>
      </c>
      <c r="E743">
        <f>IF(OR(Tabla3_1[[#This Row],[moneda]]="Total en ARS",Tabla3_1[[#This Row],[moneda]]="pesos"),Tabla3_1[[#This Row],[Valor]]*VLOOKUP(Tabla3_1[[#This Row],[añpo]],ipc!$A:$D,4,FALSE),Tabla3_1[[#This Row],[Valor]])</f>
        <v/>
      </c>
    </row>
    <row r="744">
      <c r="A744" t="n">
        <v>2020</v>
      </c>
      <c r="B744" t="inlineStr">
        <is>
          <t>dólares</t>
        </is>
      </c>
      <c r="C744" t="inlineStr">
        <is>
          <t xml:space="preserve">Deuda financiera </t>
        </is>
      </c>
      <c r="E744">
        <f>IF(OR(Tabla3_1[[#This Row],[moneda]]="Total en ARS",Tabla3_1[[#This Row],[moneda]]="pesos"),Tabla3_1[[#This Row],[Valor]]*VLOOKUP(Tabla3_1[[#This Row],[añpo]],ipc!$A:$D,4,FALSE),Tabla3_1[[#This Row],[Valor]])</f>
        <v/>
      </c>
    </row>
    <row r="745">
      <c r="A745" t="n">
        <v>2020</v>
      </c>
      <c r="B745" t="inlineStr">
        <is>
          <t>dólares</t>
        </is>
      </c>
      <c r="C745" t="inlineStr">
        <is>
          <t>Organismos internacionales de crédito</t>
        </is>
      </c>
      <c r="D745" t="n">
        <v>707.4817</v>
      </c>
      <c r="E745">
        <f>IF(OR(Tabla3_1[[#This Row],[moneda]]="Total en ARS",Tabla3_1[[#This Row],[moneda]]="pesos"),Tabla3_1[[#This Row],[Valor]]*VLOOKUP(Tabla3_1[[#This Row],[añpo]],ipc!$A:$D,4,FALSE),Tabla3_1[[#This Row],[Valor]])</f>
        <v/>
      </c>
    </row>
    <row r="746">
      <c r="A746" t="n">
        <v>2020</v>
      </c>
      <c r="B746" t="inlineStr">
        <is>
          <t>dólares</t>
        </is>
      </c>
      <c r="C746" t="inlineStr">
        <is>
          <t>Garantías y/o avales</t>
        </is>
      </c>
      <c r="D746" t="n">
        <v>178.7246</v>
      </c>
      <c r="E746">
        <f>IF(OR(Tabla3_1[[#This Row],[moneda]]="Total en ARS",Tabla3_1[[#This Row],[moneda]]="pesos"),Tabla3_1[[#This Row],[Valor]]*VLOOKUP(Tabla3_1[[#This Row],[añpo]],ipc!$A:$D,4,FALSE),Tabla3_1[[#This Row],[Valor]])</f>
        <v/>
      </c>
    </row>
    <row r="747">
      <c r="A747" t="n">
        <v>2020</v>
      </c>
      <c r="B747" t="inlineStr">
        <is>
          <t>dólares</t>
        </is>
      </c>
      <c r="C747" t="inlineStr">
        <is>
          <t>Acuerdo OSPLAD</t>
        </is>
      </c>
      <c r="E747">
        <f>IF(OR(Tabla3_1[[#This Row],[moneda]]="Total en ARS",Tabla3_1[[#This Row],[moneda]]="pesos"),Tabla3_1[[#This Row],[Valor]]*VLOOKUP(Tabla3_1[[#This Row],[añpo]],ipc!$A:$D,4,FALSE),Tabla3_1[[#This Row],[Valor]])</f>
        <v/>
      </c>
    </row>
    <row r="748">
      <c r="A748" t="n">
        <v>2020</v>
      </c>
      <c r="B748" t="inlineStr">
        <is>
          <t>dólares</t>
        </is>
      </c>
      <c r="C748" t="inlineStr">
        <is>
          <t>Préstamo ANSES - Ley 5603</t>
        </is>
      </c>
      <c r="E748">
        <f>IF(OR(Tabla3_1[[#This Row],[moneda]]="Total en ARS",Tabla3_1[[#This Row],[moneda]]="pesos"),Tabla3_1[[#This Row],[Valor]]*VLOOKUP(Tabla3_1[[#This Row],[añpo]],ipc!$A:$D,4,FALSE),Tabla3_1[[#This Row],[Valor]])</f>
        <v/>
      </c>
    </row>
    <row r="749">
      <c r="A749" t="n">
        <v>2020</v>
      </c>
      <c r="B749" t="inlineStr">
        <is>
          <t xml:space="preserve">  euros</t>
        </is>
      </c>
      <c r="C749" t="inlineStr">
        <is>
          <t>Proveedores y Contratistas</t>
        </is>
      </c>
      <c r="E749">
        <f>IF(OR(Tabla3_1[[#This Row],[moneda]]="Total en ARS",Tabla3_1[[#This Row],[moneda]]="pesos"),Tabla3_1[[#This Row],[Valor]]*VLOOKUP(Tabla3_1[[#This Row],[añpo]],ipc!$A:$D,4,FALSE),Tabla3_1[[#This Row],[Valor]])</f>
        <v/>
      </c>
    </row>
    <row r="750">
      <c r="A750" t="n">
        <v>2020</v>
      </c>
      <c r="B750" t="inlineStr">
        <is>
          <t xml:space="preserve">  euros</t>
        </is>
      </c>
      <c r="C750" t="inlineStr">
        <is>
          <t>Deuda previsional</t>
        </is>
      </c>
      <c r="E750">
        <f>IF(OR(Tabla3_1[[#This Row],[moneda]]="Total en ARS",Tabla3_1[[#This Row],[moneda]]="pesos"),Tabla3_1[[#This Row],[Valor]]*VLOOKUP(Tabla3_1[[#This Row],[añpo]],ipc!$A:$D,4,FALSE),Tabla3_1[[#This Row],[Valor]])</f>
        <v/>
      </c>
    </row>
    <row r="751">
      <c r="A751" t="n">
        <v>2020</v>
      </c>
      <c r="B751" t="inlineStr">
        <is>
          <t xml:space="preserve">  euros</t>
        </is>
      </c>
      <c r="C751" t="inlineStr">
        <is>
          <t>Títulos públicos</t>
        </is>
      </c>
      <c r="E751">
        <f>IF(OR(Tabla3_1[[#This Row],[moneda]]="Total en ARS",Tabla3_1[[#This Row],[moneda]]="pesos"),Tabla3_1[[#This Row],[Valor]]*VLOOKUP(Tabla3_1[[#This Row],[añpo]],ipc!$A:$D,4,FALSE),Tabla3_1[[#This Row],[Valor]])</f>
        <v/>
      </c>
    </row>
    <row r="752">
      <c r="A752" t="n">
        <v>2020</v>
      </c>
      <c r="B752" t="inlineStr">
        <is>
          <t xml:space="preserve">  euros</t>
        </is>
      </c>
      <c r="C752" t="inlineStr">
        <is>
          <t>Letras del Tesoro Ley 3395 art. 2</t>
        </is>
      </c>
      <c r="E752">
        <f>IF(OR(Tabla3_1[[#This Row],[moneda]]="Total en ARS",Tabla3_1[[#This Row],[moneda]]="pesos"),Tabla3_1[[#This Row],[Valor]]*VLOOKUP(Tabla3_1[[#This Row],[añpo]],ipc!$A:$D,4,FALSE),Tabla3_1[[#This Row],[Valor]])</f>
        <v/>
      </c>
    </row>
    <row r="753">
      <c r="A753" t="n">
        <v>2020</v>
      </c>
      <c r="B753" t="inlineStr">
        <is>
          <t xml:space="preserve">  euros</t>
        </is>
      </c>
      <c r="C753" t="inlineStr">
        <is>
          <t xml:space="preserve">Deuda financiera </t>
        </is>
      </c>
      <c r="E753">
        <f>IF(OR(Tabla3_1[[#This Row],[moneda]]="Total en ARS",Tabla3_1[[#This Row],[moneda]]="pesos"),Tabla3_1[[#This Row],[Valor]]*VLOOKUP(Tabla3_1[[#This Row],[añpo]],ipc!$A:$D,4,FALSE),Tabla3_1[[#This Row],[Valor]])</f>
        <v/>
      </c>
    </row>
    <row r="754">
      <c r="A754" t="n">
        <v>2020</v>
      </c>
      <c r="B754" t="inlineStr">
        <is>
          <t xml:space="preserve">  euros</t>
        </is>
      </c>
      <c r="C754" t="inlineStr">
        <is>
          <t>Organismos internacionales de crédito</t>
        </is>
      </c>
      <c r="E754">
        <f>IF(OR(Tabla3_1[[#This Row],[moneda]]="Total en ARS",Tabla3_1[[#This Row],[moneda]]="pesos"),Tabla3_1[[#This Row],[Valor]]*VLOOKUP(Tabla3_1[[#This Row],[añpo]],ipc!$A:$D,4,FALSE),Tabla3_1[[#This Row],[Valor]])</f>
        <v/>
      </c>
    </row>
    <row r="755">
      <c r="A755" t="n">
        <v>2020</v>
      </c>
      <c r="B755" t="inlineStr">
        <is>
          <t xml:space="preserve">  euros</t>
        </is>
      </c>
      <c r="C755" t="inlineStr">
        <is>
          <t>Garantías y/o avales</t>
        </is>
      </c>
      <c r="E755">
        <f>IF(OR(Tabla3_1[[#This Row],[moneda]]="Total en ARS",Tabla3_1[[#This Row],[moneda]]="pesos"),Tabla3_1[[#This Row],[Valor]]*VLOOKUP(Tabla3_1[[#This Row],[añpo]],ipc!$A:$D,4,FALSE),Tabla3_1[[#This Row],[Valor]])</f>
        <v/>
      </c>
    </row>
    <row r="756">
      <c r="A756" t="n">
        <v>2020</v>
      </c>
      <c r="B756" t="inlineStr">
        <is>
          <t xml:space="preserve">  euros</t>
        </is>
      </c>
      <c r="C756" t="inlineStr">
        <is>
          <t>Acuerdo OSPLAD</t>
        </is>
      </c>
      <c r="E756">
        <f>IF(OR(Tabla3_1[[#This Row],[moneda]]="Total en ARS",Tabla3_1[[#This Row],[moneda]]="pesos"),Tabla3_1[[#This Row],[Valor]]*VLOOKUP(Tabla3_1[[#This Row],[añpo]],ipc!$A:$D,4,FALSE),Tabla3_1[[#This Row],[Valor]])</f>
        <v/>
      </c>
    </row>
    <row r="757">
      <c r="A757" t="n">
        <v>2020</v>
      </c>
      <c r="B757" t="inlineStr">
        <is>
          <t xml:space="preserve">  euros</t>
        </is>
      </c>
      <c r="C757" t="inlineStr">
        <is>
          <t>Préstamo ANSES - Ley 5603</t>
        </is>
      </c>
      <c r="E757">
        <f>IF(OR(Tabla3_1[[#This Row],[moneda]]="Total en ARS",Tabla3_1[[#This Row],[moneda]]="pesos"),Tabla3_1[[#This Row],[Valor]]*VLOOKUP(Tabla3_1[[#This Row],[añpo]],ipc!$A:$D,4,FALSE),Tabla3_1[[#This Row],[Valor]])</f>
        <v/>
      </c>
    </row>
    <row r="758">
      <c r="A758" t="n">
        <v>2020</v>
      </c>
      <c r="B758" t="inlineStr">
        <is>
          <t>UVAs</t>
        </is>
      </c>
      <c r="C758" t="inlineStr">
        <is>
          <t>Proveedores y Contratistas</t>
        </is>
      </c>
      <c r="D758" t="n">
        <v>30.8885</v>
      </c>
      <c r="E758">
        <f>IF(OR(Tabla3_1[[#This Row],[moneda]]="Total en ARS",Tabla3_1[[#This Row],[moneda]]="pesos"),Tabla3_1[[#This Row],[Valor]]*VLOOKUP(Tabla3_1[[#This Row],[añpo]],ipc!$A:$D,4,FALSE),Tabla3_1[[#This Row],[Valor]])</f>
        <v/>
      </c>
    </row>
    <row r="759">
      <c r="A759" t="n">
        <v>2020</v>
      </c>
      <c r="B759" t="inlineStr">
        <is>
          <t>UVAs</t>
        </is>
      </c>
      <c r="C759" t="inlineStr">
        <is>
          <t>Deuda previsional</t>
        </is>
      </c>
      <c r="E759">
        <f>IF(OR(Tabla3_1[[#This Row],[moneda]]="Total en ARS",Tabla3_1[[#This Row],[moneda]]="pesos"),Tabla3_1[[#This Row],[Valor]]*VLOOKUP(Tabla3_1[[#This Row],[añpo]],ipc!$A:$D,4,FALSE),Tabla3_1[[#This Row],[Valor]])</f>
        <v/>
      </c>
    </row>
    <row r="760">
      <c r="A760" t="n">
        <v>2020</v>
      </c>
      <c r="B760" t="inlineStr">
        <is>
          <t>UVAs</t>
        </is>
      </c>
      <c r="C760" t="inlineStr">
        <is>
          <t>Títulos públicos</t>
        </is>
      </c>
      <c r="E760">
        <f>IF(OR(Tabla3_1[[#This Row],[moneda]]="Total en ARS",Tabla3_1[[#This Row],[moneda]]="pesos"),Tabla3_1[[#This Row],[Valor]]*VLOOKUP(Tabla3_1[[#This Row],[añpo]],ipc!$A:$D,4,FALSE),Tabla3_1[[#This Row],[Valor]])</f>
        <v/>
      </c>
    </row>
    <row r="761">
      <c r="A761" t="n">
        <v>2020</v>
      </c>
      <c r="B761" t="inlineStr">
        <is>
          <t>UVAs</t>
        </is>
      </c>
      <c r="C761" t="inlineStr">
        <is>
          <t>Letras del Tesoro Ley 3395 art. 2</t>
        </is>
      </c>
      <c r="E761">
        <f>IF(OR(Tabla3_1[[#This Row],[moneda]]="Total en ARS",Tabla3_1[[#This Row],[moneda]]="pesos"),Tabla3_1[[#This Row],[Valor]]*VLOOKUP(Tabla3_1[[#This Row],[añpo]],ipc!$A:$D,4,FALSE),Tabla3_1[[#This Row],[Valor]])</f>
        <v/>
      </c>
    </row>
    <row r="762">
      <c r="A762" t="n">
        <v>2020</v>
      </c>
      <c r="B762" t="inlineStr">
        <is>
          <t>UVAs</t>
        </is>
      </c>
      <c r="C762" t="inlineStr">
        <is>
          <t xml:space="preserve">Deuda financiera </t>
        </is>
      </c>
      <c r="D762" t="n">
        <v>30.8885</v>
      </c>
      <c r="E762">
        <f>IF(OR(Tabla3_1[[#This Row],[moneda]]="Total en ARS",Tabla3_1[[#This Row],[moneda]]="pesos"),Tabla3_1[[#This Row],[Valor]]*VLOOKUP(Tabla3_1[[#This Row],[añpo]],ipc!$A:$D,4,FALSE),Tabla3_1[[#This Row],[Valor]])</f>
        <v/>
      </c>
    </row>
    <row r="763">
      <c r="A763" t="n">
        <v>2020</v>
      </c>
      <c r="B763" t="inlineStr">
        <is>
          <t>UVAs</t>
        </is>
      </c>
      <c r="C763" t="inlineStr">
        <is>
          <t>Organismos internacionales de crédito</t>
        </is>
      </c>
      <c r="E763">
        <f>IF(OR(Tabla3_1[[#This Row],[moneda]]="Total en ARS",Tabla3_1[[#This Row],[moneda]]="pesos"),Tabla3_1[[#This Row],[Valor]]*VLOOKUP(Tabla3_1[[#This Row],[añpo]],ipc!$A:$D,4,FALSE),Tabla3_1[[#This Row],[Valor]])</f>
        <v/>
      </c>
    </row>
    <row r="764">
      <c r="A764" t="n">
        <v>2020</v>
      </c>
      <c r="B764" t="inlineStr">
        <is>
          <t>UVAs</t>
        </is>
      </c>
      <c r="C764" t="inlineStr">
        <is>
          <t>Garantías y/o avales</t>
        </is>
      </c>
      <c r="E764">
        <f>IF(OR(Tabla3_1[[#This Row],[moneda]]="Total en ARS",Tabla3_1[[#This Row],[moneda]]="pesos"),Tabla3_1[[#This Row],[Valor]]*VLOOKUP(Tabla3_1[[#This Row],[añpo]],ipc!$A:$D,4,FALSE),Tabla3_1[[#This Row],[Valor]])</f>
        <v/>
      </c>
    </row>
    <row r="765">
      <c r="A765" t="n">
        <v>2020</v>
      </c>
      <c r="B765" t="inlineStr">
        <is>
          <t>UVAs</t>
        </is>
      </c>
      <c r="C765" t="inlineStr">
        <is>
          <t>Acuerdo OSPLAD</t>
        </is>
      </c>
      <c r="E765">
        <f>IF(OR(Tabla3_1[[#This Row],[moneda]]="Total en ARS",Tabla3_1[[#This Row],[moneda]]="pesos"),Tabla3_1[[#This Row],[Valor]]*VLOOKUP(Tabla3_1[[#This Row],[añpo]],ipc!$A:$D,4,FALSE),Tabla3_1[[#This Row],[Valor]])</f>
        <v/>
      </c>
    </row>
    <row r="766">
      <c r="A766" t="n">
        <v>2020</v>
      </c>
      <c r="B766" t="inlineStr">
        <is>
          <t>UVAs</t>
        </is>
      </c>
      <c r="C766" t="inlineStr">
        <is>
          <t>Préstamo ANSES - Ley 5603</t>
        </is>
      </c>
      <c r="E766">
        <f>IF(OR(Tabla3_1[[#This Row],[moneda]]="Total en ARS",Tabla3_1[[#This Row],[moneda]]="pesos"),Tabla3_1[[#This Row],[Valor]]*VLOOKUP(Tabla3_1[[#This Row],[añpo]],ipc!$A:$D,4,FALSE),Tabla3_1[[#This Row],[Valor]])</f>
        <v/>
      </c>
    </row>
    <row r="767">
      <c r="A767" t="n">
        <v>2021</v>
      </c>
      <c r="B767" t="inlineStr">
        <is>
          <t>Total en ARS</t>
        </is>
      </c>
      <c r="C767" t="inlineStr">
        <is>
          <t>Proveedores y Contratistas</t>
        </is>
      </c>
      <c r="D767" t="n">
        <v>271752.91561</v>
      </c>
      <c r="E767">
        <f>IF(OR(Tabla3_1[[#This Row],[moneda]]="Total en ARS",Tabla3_1[[#This Row],[moneda]]="pesos"),Tabla3_1[[#This Row],[Valor]]*VLOOKUP(Tabla3_1[[#This Row],[añpo]],ipc!$A:$D,4,FALSE),Tabla3_1[[#This Row],[Valor]])</f>
        <v/>
      </c>
    </row>
    <row r="768">
      <c r="A768" t="n">
        <v>2021</v>
      </c>
      <c r="B768" t="inlineStr">
        <is>
          <t>Total en ARS</t>
        </is>
      </c>
      <c r="C768" t="inlineStr">
        <is>
          <t>Deuda previsional</t>
        </is>
      </c>
      <c r="E768">
        <f>IF(OR(Tabla3_1[[#This Row],[moneda]]="Total en ARS",Tabla3_1[[#This Row],[moneda]]="pesos"),Tabla3_1[[#This Row],[Valor]]*VLOOKUP(Tabla3_1[[#This Row],[añpo]],ipc!$A:$D,4,FALSE),Tabla3_1[[#This Row],[Valor]])</f>
        <v/>
      </c>
    </row>
    <row r="769">
      <c r="A769" t="n">
        <v>2021</v>
      </c>
      <c r="B769" t="inlineStr">
        <is>
          <t>Total en ARS</t>
        </is>
      </c>
      <c r="C769" t="inlineStr">
        <is>
          <t>Títulos públicos</t>
        </is>
      </c>
      <c r="E769">
        <f>IF(OR(Tabla3_1[[#This Row],[moneda]]="Total en ARS",Tabla3_1[[#This Row],[moneda]]="pesos"),Tabla3_1[[#This Row],[Valor]]*VLOOKUP(Tabla3_1[[#This Row],[añpo]],ipc!$A:$D,4,FALSE),Tabla3_1[[#This Row],[Valor]])</f>
        <v/>
      </c>
    </row>
    <row r="770">
      <c r="A770" t="n">
        <v>2021</v>
      </c>
      <c r="B770" t="inlineStr">
        <is>
          <t>Total en ARS</t>
        </is>
      </c>
      <c r="C770" t="inlineStr">
        <is>
          <t>Letras del Tesoro Ley 3395 art. 2</t>
        </is>
      </c>
      <c r="E770">
        <f>IF(OR(Tabla3_1[[#This Row],[moneda]]="Total en ARS",Tabla3_1[[#This Row],[moneda]]="pesos"),Tabla3_1[[#This Row],[Valor]]*VLOOKUP(Tabla3_1[[#This Row],[añpo]],ipc!$A:$D,4,FALSE),Tabla3_1[[#This Row],[Valor]])</f>
        <v/>
      </c>
    </row>
    <row r="771">
      <c r="A771" t="n">
        <v>2021</v>
      </c>
      <c r="B771" t="inlineStr">
        <is>
          <t>Total en ARS</t>
        </is>
      </c>
      <c r="C771" t="inlineStr">
        <is>
          <t xml:space="preserve">Deuda financiera </t>
        </is>
      </c>
      <c r="D771" t="n">
        <v>2858.11561</v>
      </c>
      <c r="E771">
        <f>IF(OR(Tabla3_1[[#This Row],[moneda]]="Total en ARS",Tabla3_1[[#This Row],[moneda]]="pesos"),Tabla3_1[[#This Row],[Valor]]*VLOOKUP(Tabla3_1[[#This Row],[añpo]],ipc!$A:$D,4,FALSE),Tabla3_1[[#This Row],[Valor]])</f>
        <v/>
      </c>
    </row>
    <row r="772">
      <c r="A772" t="n">
        <v>2021</v>
      </c>
      <c r="B772" t="inlineStr">
        <is>
          <t>Total en ARS</t>
        </is>
      </c>
      <c r="C772" t="inlineStr">
        <is>
          <t>Organismos internacionales de crédito</t>
        </is>
      </c>
      <c r="D772" t="n">
        <v>65295.3</v>
      </c>
      <c r="E772">
        <f>IF(OR(Tabla3_1[[#This Row],[moneda]]="Total en ARS",Tabla3_1[[#This Row],[moneda]]="pesos"),Tabla3_1[[#This Row],[Valor]]*VLOOKUP(Tabla3_1[[#This Row],[añpo]],ipc!$A:$D,4,FALSE),Tabla3_1[[#This Row],[Valor]])</f>
        <v/>
      </c>
    </row>
    <row r="773">
      <c r="A773" t="n">
        <v>2021</v>
      </c>
      <c r="B773" t="inlineStr">
        <is>
          <t>Total en ARS</t>
        </is>
      </c>
      <c r="C773" t="inlineStr">
        <is>
          <t>Garantías y/o avales</t>
        </is>
      </c>
      <c r="E773">
        <f>IF(OR(Tabla3_1[[#This Row],[moneda]]="Total en ARS",Tabla3_1[[#This Row],[moneda]]="pesos"),Tabla3_1[[#This Row],[Valor]]*VLOOKUP(Tabla3_1[[#This Row],[añpo]],ipc!$A:$D,4,FALSE),Tabla3_1[[#This Row],[Valor]])</f>
        <v/>
      </c>
    </row>
    <row r="774">
      <c r="A774" t="n">
        <v>2021</v>
      </c>
      <c r="B774" t="inlineStr">
        <is>
          <t>Total en ARS</t>
        </is>
      </c>
      <c r="C774" t="inlineStr">
        <is>
          <t>Acuerdo OSPLAD</t>
        </is>
      </c>
      <c r="E774">
        <f>IF(OR(Tabla3_1[[#This Row],[moneda]]="Total en ARS",Tabla3_1[[#This Row],[moneda]]="pesos"),Tabla3_1[[#This Row],[Valor]]*VLOOKUP(Tabla3_1[[#This Row],[añpo]],ipc!$A:$D,4,FALSE),Tabla3_1[[#This Row],[Valor]])</f>
        <v/>
      </c>
    </row>
    <row r="775">
      <c r="A775" t="n">
        <v>2021</v>
      </c>
      <c r="B775" t="inlineStr">
        <is>
          <t>Total en ARS</t>
        </is>
      </c>
      <c r="C775" t="inlineStr">
        <is>
          <t>Préstamo ANSES - Ley 5603</t>
        </is>
      </c>
      <c r="D775" t="n">
        <v>7608.2</v>
      </c>
      <c r="E775">
        <f>IF(OR(Tabla3_1[[#This Row],[moneda]]="Total en ARS",Tabla3_1[[#This Row],[moneda]]="pesos"),Tabla3_1[[#This Row],[Valor]]*VLOOKUP(Tabla3_1[[#This Row],[añpo]],ipc!$A:$D,4,FALSE),Tabla3_1[[#This Row],[Valor]])</f>
        <v/>
      </c>
    </row>
    <row r="776">
      <c r="A776" t="n">
        <v>2021</v>
      </c>
      <c r="B776" t="inlineStr">
        <is>
          <t>pesos</t>
        </is>
      </c>
      <c r="C776" t="inlineStr">
        <is>
          <t>Proveedores y Contratistas</t>
        </is>
      </c>
      <c r="D776" t="n">
        <v>108562.8</v>
      </c>
      <c r="E776">
        <f>IF(OR(Tabla3_1[[#This Row],[moneda]]="Total en ARS",Tabla3_1[[#This Row],[moneda]]="pesos"),Tabla3_1[[#This Row],[Valor]]*VLOOKUP(Tabla3_1[[#This Row],[añpo]],ipc!$A:$D,4,FALSE),Tabla3_1[[#This Row],[Valor]])</f>
        <v/>
      </c>
    </row>
    <row r="777">
      <c r="A777" t="n">
        <v>2021</v>
      </c>
      <c r="B777" t="inlineStr">
        <is>
          <t>pesos</t>
        </is>
      </c>
      <c r="C777" t="inlineStr">
        <is>
          <t>Deuda previsional</t>
        </is>
      </c>
      <c r="E777">
        <f>IF(OR(Tabla3_1[[#This Row],[moneda]]="Total en ARS",Tabla3_1[[#This Row],[moneda]]="pesos"),Tabla3_1[[#This Row],[Valor]]*VLOOKUP(Tabla3_1[[#This Row],[añpo]],ipc!$A:$D,4,FALSE),Tabla3_1[[#This Row],[Valor]])</f>
        <v/>
      </c>
    </row>
    <row r="778">
      <c r="A778" t="n">
        <v>2021</v>
      </c>
      <c r="B778" t="inlineStr">
        <is>
          <t>pesos</t>
        </is>
      </c>
      <c r="C778" t="inlineStr">
        <is>
          <t>Títulos públicos</t>
        </is>
      </c>
      <c r="E778">
        <f>IF(OR(Tabla3_1[[#This Row],[moneda]]="Total en ARS",Tabla3_1[[#This Row],[moneda]]="pesos"),Tabla3_1[[#This Row],[Valor]]*VLOOKUP(Tabla3_1[[#This Row],[añpo]],ipc!$A:$D,4,FALSE),Tabla3_1[[#This Row],[Valor]])</f>
        <v/>
      </c>
    </row>
    <row r="779">
      <c r="A779" t="n">
        <v>2021</v>
      </c>
      <c r="B779" t="inlineStr">
        <is>
          <t>pesos</t>
        </is>
      </c>
      <c r="C779" t="inlineStr">
        <is>
          <t>Letras del Tesoro Ley 3395 art. 2</t>
        </is>
      </c>
      <c r="E779">
        <f>IF(OR(Tabla3_1[[#This Row],[moneda]]="Total en ARS",Tabla3_1[[#This Row],[moneda]]="pesos"),Tabla3_1[[#This Row],[Valor]]*VLOOKUP(Tabla3_1[[#This Row],[añpo]],ipc!$A:$D,4,FALSE),Tabla3_1[[#This Row],[Valor]])</f>
        <v/>
      </c>
    </row>
    <row r="780">
      <c r="A780" t="n">
        <v>2021</v>
      </c>
      <c r="B780" t="inlineStr">
        <is>
          <t>pesos</t>
        </is>
      </c>
      <c r="C780" t="inlineStr">
        <is>
          <t xml:space="preserve">Deuda financiera </t>
        </is>
      </c>
      <c r="E780">
        <f>IF(OR(Tabla3_1[[#This Row],[moneda]]="Total en ARS",Tabla3_1[[#This Row],[moneda]]="pesos"),Tabla3_1[[#This Row],[Valor]]*VLOOKUP(Tabla3_1[[#This Row],[añpo]],ipc!$A:$D,4,FALSE),Tabla3_1[[#This Row],[Valor]])</f>
        <v/>
      </c>
    </row>
    <row r="781">
      <c r="A781" t="n">
        <v>2021</v>
      </c>
      <c r="B781" t="inlineStr">
        <is>
          <t>pesos</t>
        </is>
      </c>
      <c r="C781" t="inlineStr">
        <is>
          <t>Organismos internacionales de crédito</t>
        </is>
      </c>
      <c r="D781" t="n">
        <v>860.8</v>
      </c>
      <c r="E781">
        <f>IF(OR(Tabla3_1[[#This Row],[moneda]]="Total en ARS",Tabla3_1[[#This Row],[moneda]]="pesos"),Tabla3_1[[#This Row],[Valor]]*VLOOKUP(Tabla3_1[[#This Row],[añpo]],ipc!$A:$D,4,FALSE),Tabla3_1[[#This Row],[Valor]])</f>
        <v/>
      </c>
    </row>
    <row r="782">
      <c r="A782" t="n">
        <v>2021</v>
      </c>
      <c r="B782" t="inlineStr">
        <is>
          <t>pesos</t>
        </is>
      </c>
      <c r="C782" t="inlineStr">
        <is>
          <t>Garantías y/o avales</t>
        </is>
      </c>
      <c r="E782">
        <f>IF(OR(Tabla3_1[[#This Row],[moneda]]="Total en ARS",Tabla3_1[[#This Row],[moneda]]="pesos"),Tabla3_1[[#This Row],[Valor]]*VLOOKUP(Tabla3_1[[#This Row],[añpo]],ipc!$A:$D,4,FALSE),Tabla3_1[[#This Row],[Valor]])</f>
        <v/>
      </c>
    </row>
    <row r="783">
      <c r="A783" t="n">
        <v>2021</v>
      </c>
      <c r="B783" t="inlineStr">
        <is>
          <t>pesos</t>
        </is>
      </c>
      <c r="C783" t="inlineStr">
        <is>
          <t>Acuerdo OSPLAD</t>
        </is>
      </c>
      <c r="E783">
        <f>IF(OR(Tabla3_1[[#This Row],[moneda]]="Total en ARS",Tabla3_1[[#This Row],[moneda]]="pesos"),Tabla3_1[[#This Row],[Valor]]*VLOOKUP(Tabla3_1[[#This Row],[añpo]],ipc!$A:$D,4,FALSE),Tabla3_1[[#This Row],[Valor]])</f>
        <v/>
      </c>
    </row>
    <row r="784">
      <c r="A784" t="n">
        <v>2021</v>
      </c>
      <c r="B784" t="inlineStr">
        <is>
          <t>pesos</t>
        </is>
      </c>
      <c r="C784" t="inlineStr">
        <is>
          <t>Préstamo ANSES - Ley 5603</t>
        </is>
      </c>
      <c r="D784" t="n">
        <v>7608.2</v>
      </c>
      <c r="E784">
        <f>IF(OR(Tabla3_1[[#This Row],[moneda]]="Total en ARS",Tabla3_1[[#This Row],[moneda]]="pesos"),Tabla3_1[[#This Row],[Valor]]*VLOOKUP(Tabla3_1[[#This Row],[añpo]],ipc!$A:$D,4,FALSE),Tabla3_1[[#This Row],[Valor]])</f>
        <v/>
      </c>
    </row>
    <row r="785">
      <c r="A785" t="n">
        <v>2021</v>
      </c>
      <c r="B785" t="inlineStr">
        <is>
          <t>dólares</t>
        </is>
      </c>
      <c r="C785" t="inlineStr">
        <is>
          <t>Proveedores y Contratistas</t>
        </is>
      </c>
      <c r="D785" t="n">
        <v>1488</v>
      </c>
      <c r="E785">
        <f>IF(OR(Tabla3_1[[#This Row],[moneda]]="Total en ARS",Tabla3_1[[#This Row],[moneda]]="pesos"),Tabla3_1[[#This Row],[Valor]]*VLOOKUP(Tabla3_1[[#This Row],[añpo]],ipc!$A:$D,4,FALSE),Tabla3_1[[#This Row],[Valor]])</f>
        <v/>
      </c>
    </row>
    <row r="786">
      <c r="A786" t="n">
        <v>2021</v>
      </c>
      <c r="B786" t="inlineStr">
        <is>
          <t>dólares</t>
        </is>
      </c>
      <c r="C786" t="inlineStr">
        <is>
          <t>Deuda previsional</t>
        </is>
      </c>
      <c r="E786">
        <f>IF(OR(Tabla3_1[[#This Row],[moneda]]="Total en ARS",Tabla3_1[[#This Row],[moneda]]="pesos"),Tabla3_1[[#This Row],[Valor]]*VLOOKUP(Tabla3_1[[#This Row],[añpo]],ipc!$A:$D,4,FALSE),Tabla3_1[[#This Row],[Valor]])</f>
        <v/>
      </c>
    </row>
    <row r="787">
      <c r="A787" t="n">
        <v>2021</v>
      </c>
      <c r="B787" t="inlineStr">
        <is>
          <t>dólares</t>
        </is>
      </c>
      <c r="C787" t="inlineStr">
        <is>
          <t>Títulos públicos</t>
        </is>
      </c>
      <c r="E787">
        <f>IF(OR(Tabla3_1[[#This Row],[moneda]]="Total en ARS",Tabla3_1[[#This Row],[moneda]]="pesos"),Tabla3_1[[#This Row],[Valor]]*VLOOKUP(Tabla3_1[[#This Row],[añpo]],ipc!$A:$D,4,FALSE),Tabla3_1[[#This Row],[Valor]])</f>
        <v/>
      </c>
    </row>
    <row r="788">
      <c r="A788" t="n">
        <v>2021</v>
      </c>
      <c r="B788" t="inlineStr">
        <is>
          <t>dólares</t>
        </is>
      </c>
      <c r="C788" t="inlineStr">
        <is>
          <t>Letras del Tesoro Ley 3395 art. 2</t>
        </is>
      </c>
      <c r="E788">
        <f>IF(OR(Tabla3_1[[#This Row],[moneda]]="Total en ARS",Tabla3_1[[#This Row],[moneda]]="pesos"),Tabla3_1[[#This Row],[Valor]]*VLOOKUP(Tabla3_1[[#This Row],[añpo]],ipc!$A:$D,4,FALSE),Tabla3_1[[#This Row],[Valor]])</f>
        <v/>
      </c>
    </row>
    <row r="789">
      <c r="A789" t="n">
        <v>2021</v>
      </c>
      <c r="B789" t="inlineStr">
        <is>
          <t>dólares</t>
        </is>
      </c>
      <c r="C789" t="inlineStr">
        <is>
          <t xml:space="preserve">Deuda financiera </t>
        </is>
      </c>
      <c r="E789">
        <f>IF(OR(Tabla3_1[[#This Row],[moneda]]="Total en ARS",Tabla3_1[[#This Row],[moneda]]="pesos"),Tabla3_1[[#This Row],[Valor]]*VLOOKUP(Tabla3_1[[#This Row],[añpo]],ipc!$A:$D,4,FALSE),Tabla3_1[[#This Row],[Valor]])</f>
        <v/>
      </c>
    </row>
    <row r="790">
      <c r="A790" t="n">
        <v>2021</v>
      </c>
      <c r="B790" t="inlineStr">
        <is>
          <t>dólares</t>
        </is>
      </c>
      <c r="C790" t="inlineStr">
        <is>
          <t>Organismos internacionales de crédito</t>
        </is>
      </c>
      <c r="D790" t="n">
        <v>598</v>
      </c>
      <c r="E790">
        <f>IF(OR(Tabla3_1[[#This Row],[moneda]]="Total en ARS",Tabla3_1[[#This Row],[moneda]]="pesos"),Tabla3_1[[#This Row],[Valor]]*VLOOKUP(Tabla3_1[[#This Row],[añpo]],ipc!$A:$D,4,FALSE),Tabla3_1[[#This Row],[Valor]])</f>
        <v/>
      </c>
    </row>
    <row r="791">
      <c r="A791" t="n">
        <v>2021</v>
      </c>
      <c r="B791" t="inlineStr">
        <is>
          <t>dólares</t>
        </is>
      </c>
      <c r="C791" t="inlineStr">
        <is>
          <t>Garantías y/o avales</t>
        </is>
      </c>
      <c r="E791">
        <f>IF(OR(Tabla3_1[[#This Row],[moneda]]="Total en ARS",Tabla3_1[[#This Row],[moneda]]="pesos"),Tabla3_1[[#This Row],[Valor]]*VLOOKUP(Tabla3_1[[#This Row],[añpo]],ipc!$A:$D,4,FALSE),Tabla3_1[[#This Row],[Valor]])</f>
        <v/>
      </c>
    </row>
    <row r="792">
      <c r="A792" t="n">
        <v>2021</v>
      </c>
      <c r="B792" t="inlineStr">
        <is>
          <t>dólares</t>
        </is>
      </c>
      <c r="C792" t="inlineStr">
        <is>
          <t>Acuerdo OSPLAD</t>
        </is>
      </c>
      <c r="E792">
        <f>IF(OR(Tabla3_1[[#This Row],[moneda]]="Total en ARS",Tabla3_1[[#This Row],[moneda]]="pesos"),Tabla3_1[[#This Row],[Valor]]*VLOOKUP(Tabla3_1[[#This Row],[añpo]],ipc!$A:$D,4,FALSE),Tabla3_1[[#This Row],[Valor]])</f>
        <v/>
      </c>
    </row>
    <row r="793">
      <c r="A793" t="n">
        <v>2021</v>
      </c>
      <c r="B793" t="inlineStr">
        <is>
          <t>dólares</t>
        </is>
      </c>
      <c r="C793" t="inlineStr">
        <is>
          <t>Préstamo ANSES - Ley 5603</t>
        </is>
      </c>
      <c r="E793">
        <f>IF(OR(Tabla3_1[[#This Row],[moneda]]="Total en ARS",Tabla3_1[[#This Row],[moneda]]="pesos"),Tabla3_1[[#This Row],[Valor]]*VLOOKUP(Tabla3_1[[#This Row],[añpo]],ipc!$A:$D,4,FALSE),Tabla3_1[[#This Row],[Valor]])</f>
        <v/>
      </c>
    </row>
    <row r="794">
      <c r="A794" t="n">
        <v>2021</v>
      </c>
      <c r="B794" t="inlineStr">
        <is>
          <t xml:space="preserve">  euros</t>
        </is>
      </c>
      <c r="C794" t="inlineStr">
        <is>
          <t>Proveedores y Contratistas</t>
        </is>
      </c>
      <c r="E794">
        <f>IF(OR(Tabla3_1[[#This Row],[moneda]]="Total en ARS",Tabla3_1[[#This Row],[moneda]]="pesos"),Tabla3_1[[#This Row],[Valor]]*VLOOKUP(Tabla3_1[[#This Row],[añpo]],ipc!$A:$D,4,FALSE),Tabla3_1[[#This Row],[Valor]])</f>
        <v/>
      </c>
    </row>
    <row r="795">
      <c r="A795" t="n">
        <v>2021</v>
      </c>
      <c r="B795" t="inlineStr">
        <is>
          <t xml:space="preserve">  euros</t>
        </is>
      </c>
      <c r="C795" t="inlineStr">
        <is>
          <t>Deuda previsional</t>
        </is>
      </c>
      <c r="E795">
        <f>IF(OR(Tabla3_1[[#This Row],[moneda]]="Total en ARS",Tabla3_1[[#This Row],[moneda]]="pesos"),Tabla3_1[[#This Row],[Valor]]*VLOOKUP(Tabla3_1[[#This Row],[añpo]],ipc!$A:$D,4,FALSE),Tabla3_1[[#This Row],[Valor]])</f>
        <v/>
      </c>
    </row>
    <row r="796">
      <c r="A796" t="n">
        <v>2021</v>
      </c>
      <c r="B796" t="inlineStr">
        <is>
          <t xml:space="preserve">  euros</t>
        </is>
      </c>
      <c r="C796" t="inlineStr">
        <is>
          <t>Títulos públicos</t>
        </is>
      </c>
      <c r="E796">
        <f>IF(OR(Tabla3_1[[#This Row],[moneda]]="Total en ARS",Tabla3_1[[#This Row],[moneda]]="pesos"),Tabla3_1[[#This Row],[Valor]]*VLOOKUP(Tabla3_1[[#This Row],[añpo]],ipc!$A:$D,4,FALSE),Tabla3_1[[#This Row],[Valor]])</f>
        <v/>
      </c>
    </row>
    <row r="797">
      <c r="A797" t="n">
        <v>2021</v>
      </c>
      <c r="B797" t="inlineStr">
        <is>
          <t xml:space="preserve">  euros</t>
        </is>
      </c>
      <c r="C797" t="inlineStr">
        <is>
          <t>Letras del Tesoro Ley 3395 art. 2</t>
        </is>
      </c>
      <c r="E797">
        <f>IF(OR(Tabla3_1[[#This Row],[moneda]]="Total en ARS",Tabla3_1[[#This Row],[moneda]]="pesos"),Tabla3_1[[#This Row],[Valor]]*VLOOKUP(Tabla3_1[[#This Row],[añpo]],ipc!$A:$D,4,FALSE),Tabla3_1[[#This Row],[Valor]])</f>
        <v/>
      </c>
    </row>
    <row r="798">
      <c r="A798" t="n">
        <v>2021</v>
      </c>
      <c r="B798" t="inlineStr">
        <is>
          <t xml:space="preserve">  euros</t>
        </is>
      </c>
      <c r="C798" t="inlineStr">
        <is>
          <t xml:space="preserve">Deuda financiera </t>
        </is>
      </c>
      <c r="E798">
        <f>IF(OR(Tabla3_1[[#This Row],[moneda]]="Total en ARS",Tabla3_1[[#This Row],[moneda]]="pesos"),Tabla3_1[[#This Row],[Valor]]*VLOOKUP(Tabla3_1[[#This Row],[añpo]],ipc!$A:$D,4,FALSE),Tabla3_1[[#This Row],[Valor]])</f>
        <v/>
      </c>
    </row>
    <row r="799">
      <c r="A799" t="n">
        <v>2021</v>
      </c>
      <c r="B799" t="inlineStr">
        <is>
          <t xml:space="preserve">  euros</t>
        </is>
      </c>
      <c r="C799" t="inlineStr">
        <is>
          <t>Organismos internacionales de crédito</t>
        </is>
      </c>
      <c r="E799">
        <f>IF(OR(Tabla3_1[[#This Row],[moneda]]="Total en ARS",Tabla3_1[[#This Row],[moneda]]="pesos"),Tabla3_1[[#This Row],[Valor]]*VLOOKUP(Tabla3_1[[#This Row],[añpo]],ipc!$A:$D,4,FALSE),Tabla3_1[[#This Row],[Valor]])</f>
        <v/>
      </c>
    </row>
    <row r="800">
      <c r="A800" t="n">
        <v>2021</v>
      </c>
      <c r="B800" t="inlineStr">
        <is>
          <t xml:space="preserve">  euros</t>
        </is>
      </c>
      <c r="C800" t="inlineStr">
        <is>
          <t>Garantías y/o avales</t>
        </is>
      </c>
      <c r="E800">
        <f>IF(OR(Tabla3_1[[#This Row],[moneda]]="Total en ARS",Tabla3_1[[#This Row],[moneda]]="pesos"),Tabla3_1[[#This Row],[Valor]]*VLOOKUP(Tabla3_1[[#This Row],[añpo]],ipc!$A:$D,4,FALSE),Tabla3_1[[#This Row],[Valor]])</f>
        <v/>
      </c>
    </row>
    <row r="801">
      <c r="A801" t="n">
        <v>2021</v>
      </c>
      <c r="B801" t="inlineStr">
        <is>
          <t xml:space="preserve">  euros</t>
        </is>
      </c>
      <c r="C801" t="inlineStr">
        <is>
          <t>Acuerdo OSPLAD</t>
        </is>
      </c>
      <c r="E801">
        <f>IF(OR(Tabla3_1[[#This Row],[moneda]]="Total en ARS",Tabla3_1[[#This Row],[moneda]]="pesos"),Tabla3_1[[#This Row],[Valor]]*VLOOKUP(Tabla3_1[[#This Row],[añpo]],ipc!$A:$D,4,FALSE),Tabla3_1[[#This Row],[Valor]])</f>
        <v/>
      </c>
    </row>
    <row r="802">
      <c r="A802" t="n">
        <v>2021</v>
      </c>
      <c r="B802" t="inlineStr">
        <is>
          <t xml:space="preserve">  euros</t>
        </is>
      </c>
      <c r="C802" t="inlineStr">
        <is>
          <t>Préstamo ANSES - Ley 5603</t>
        </is>
      </c>
      <c r="E802">
        <f>IF(OR(Tabla3_1[[#This Row],[moneda]]="Total en ARS",Tabla3_1[[#This Row],[moneda]]="pesos"),Tabla3_1[[#This Row],[Valor]]*VLOOKUP(Tabla3_1[[#This Row],[añpo]],ipc!$A:$D,4,FALSE),Tabla3_1[[#This Row],[Valor]])</f>
        <v/>
      </c>
    </row>
    <row r="803">
      <c r="A803" t="n">
        <v>2021</v>
      </c>
      <c r="B803" t="inlineStr">
        <is>
          <t>UVAs</t>
        </is>
      </c>
      <c r="C803" t="inlineStr">
        <is>
          <t>Proveedores y Contratistas</t>
        </is>
      </c>
      <c r="D803" t="n">
        <v>29.311</v>
      </c>
      <c r="E803">
        <f>IF(OR(Tabla3_1[[#This Row],[moneda]]="Total en ARS",Tabla3_1[[#This Row],[moneda]]="pesos"),Tabla3_1[[#This Row],[Valor]]*VLOOKUP(Tabla3_1[[#This Row],[añpo]],ipc!$A:$D,4,FALSE),Tabla3_1[[#This Row],[Valor]])</f>
        <v/>
      </c>
    </row>
    <row r="804">
      <c r="A804" t="n">
        <v>2021</v>
      </c>
      <c r="B804" t="inlineStr">
        <is>
          <t>UVAs</t>
        </is>
      </c>
      <c r="C804" t="inlineStr">
        <is>
          <t>Deuda previsional</t>
        </is>
      </c>
      <c r="E804">
        <f>IF(OR(Tabla3_1[[#This Row],[moneda]]="Total en ARS",Tabla3_1[[#This Row],[moneda]]="pesos"),Tabla3_1[[#This Row],[Valor]]*VLOOKUP(Tabla3_1[[#This Row],[añpo]],ipc!$A:$D,4,FALSE),Tabla3_1[[#This Row],[Valor]])</f>
        <v/>
      </c>
    </row>
    <row r="805">
      <c r="A805" t="n">
        <v>2021</v>
      </c>
      <c r="B805" t="inlineStr">
        <is>
          <t>UVAs</t>
        </is>
      </c>
      <c r="C805" t="inlineStr">
        <is>
          <t>Títulos públicos</t>
        </is>
      </c>
      <c r="E805">
        <f>IF(OR(Tabla3_1[[#This Row],[moneda]]="Total en ARS",Tabla3_1[[#This Row],[moneda]]="pesos"),Tabla3_1[[#This Row],[Valor]]*VLOOKUP(Tabla3_1[[#This Row],[añpo]],ipc!$A:$D,4,FALSE),Tabla3_1[[#This Row],[Valor]])</f>
        <v/>
      </c>
    </row>
    <row r="806">
      <c r="A806" t="n">
        <v>2021</v>
      </c>
      <c r="B806" t="inlineStr">
        <is>
          <t>UVAs</t>
        </is>
      </c>
      <c r="C806" t="inlineStr">
        <is>
          <t>Letras del Tesoro Ley 3395 art. 2</t>
        </is>
      </c>
      <c r="E806">
        <f>IF(OR(Tabla3_1[[#This Row],[moneda]]="Total en ARS",Tabla3_1[[#This Row],[moneda]]="pesos"),Tabla3_1[[#This Row],[Valor]]*VLOOKUP(Tabla3_1[[#This Row],[añpo]],ipc!$A:$D,4,FALSE),Tabla3_1[[#This Row],[Valor]])</f>
        <v/>
      </c>
    </row>
    <row r="807">
      <c r="A807" t="n">
        <v>2021</v>
      </c>
      <c r="B807" t="inlineStr">
        <is>
          <t>UVAs</t>
        </is>
      </c>
      <c r="C807" t="inlineStr">
        <is>
          <t xml:space="preserve">Deuda financiera </t>
        </is>
      </c>
      <c r="D807" t="n">
        <v>29.311</v>
      </c>
      <c r="E807">
        <f>IF(OR(Tabla3_1[[#This Row],[moneda]]="Total en ARS",Tabla3_1[[#This Row],[moneda]]="pesos"),Tabla3_1[[#This Row],[Valor]]*VLOOKUP(Tabla3_1[[#This Row],[añpo]],ipc!$A:$D,4,FALSE),Tabla3_1[[#This Row],[Valor]])</f>
        <v/>
      </c>
    </row>
    <row r="808">
      <c r="A808" t="n">
        <v>2021</v>
      </c>
      <c r="B808" t="inlineStr">
        <is>
          <t>UVAs</t>
        </is>
      </c>
      <c r="C808" t="inlineStr">
        <is>
          <t>Organismos internacionales de crédito</t>
        </is>
      </c>
      <c r="E808">
        <f>IF(OR(Tabla3_1[[#This Row],[moneda]]="Total en ARS",Tabla3_1[[#This Row],[moneda]]="pesos"),Tabla3_1[[#This Row],[Valor]]*VLOOKUP(Tabla3_1[[#This Row],[añpo]],ipc!$A:$D,4,FALSE),Tabla3_1[[#This Row],[Valor]])</f>
        <v/>
      </c>
    </row>
    <row r="809">
      <c r="A809" t="n">
        <v>2021</v>
      </c>
      <c r="B809" t="inlineStr">
        <is>
          <t>UVAs</t>
        </is>
      </c>
      <c r="C809" t="inlineStr">
        <is>
          <t>Garantías y/o avales</t>
        </is>
      </c>
      <c r="E809">
        <f>IF(OR(Tabla3_1[[#This Row],[moneda]]="Total en ARS",Tabla3_1[[#This Row],[moneda]]="pesos"),Tabla3_1[[#This Row],[Valor]]*VLOOKUP(Tabla3_1[[#This Row],[añpo]],ipc!$A:$D,4,FALSE),Tabla3_1[[#This Row],[Valor]])</f>
        <v/>
      </c>
    </row>
    <row r="810">
      <c r="A810" t="n">
        <v>2021</v>
      </c>
      <c r="B810" t="inlineStr">
        <is>
          <t>UVAs</t>
        </is>
      </c>
      <c r="C810" t="inlineStr">
        <is>
          <t>Acuerdo OSPLAD</t>
        </is>
      </c>
      <c r="E810">
        <f>IF(OR(Tabla3_1[[#This Row],[moneda]]="Total en ARS",Tabla3_1[[#This Row],[moneda]]="pesos"),Tabla3_1[[#This Row],[Valor]]*VLOOKUP(Tabla3_1[[#This Row],[añpo]],ipc!$A:$D,4,FALSE),Tabla3_1[[#This Row],[Valor]])</f>
        <v/>
      </c>
    </row>
    <row r="811">
      <c r="A811" t="n">
        <v>2021</v>
      </c>
      <c r="B811" t="inlineStr">
        <is>
          <t>UVAs</t>
        </is>
      </c>
      <c r="C811" t="inlineStr">
        <is>
          <t>Préstamo ANSES - Ley 5603</t>
        </is>
      </c>
      <c r="E811">
        <f>IF(OR(Tabla3_1[[#This Row],[moneda]]="Total en ARS",Tabla3_1[[#This Row],[moneda]]="pesos"),Tabla3_1[[#This Row],[Valor]]*VLOOKUP(Tabla3_1[[#This Row],[añpo]],ipc!$A:$D,4,FALSE),Tabla3_1[[#This Row],[Valor]])</f>
        <v/>
      </c>
    </row>
    <row r="812">
      <c r="A812" t="n">
        <v>2022</v>
      </c>
      <c r="B812" t="inlineStr">
        <is>
          <t>Total en ARS</t>
        </is>
      </c>
      <c r="C812" t="inlineStr">
        <is>
          <t>Proveedores y Contratistas</t>
        </is>
      </c>
      <c r="D812" t="n">
        <v>363796.564</v>
      </c>
      <c r="E812">
        <f>IF(OR(Tabla3_1[[#This Row],[moneda]]="Total en ARS",Tabla3_1[[#This Row],[moneda]]="pesos"),Tabla3_1[[#This Row],[Valor]]*VLOOKUP(Tabla3_1[[#This Row],[añpo]],ipc!$A:$D,4,FALSE),Tabla3_1[[#This Row],[Valor]])</f>
        <v/>
      </c>
    </row>
    <row r="813">
      <c r="A813" t="n">
        <v>2022</v>
      </c>
      <c r="B813" t="inlineStr">
        <is>
          <t>Total en ARS</t>
        </is>
      </c>
      <c r="C813" t="inlineStr">
        <is>
          <t>Deuda previsional</t>
        </is>
      </c>
      <c r="E813">
        <f>IF(OR(Tabla3_1[[#This Row],[moneda]]="Total en ARS",Tabla3_1[[#This Row],[moneda]]="pesos"),Tabla3_1[[#This Row],[Valor]]*VLOOKUP(Tabla3_1[[#This Row],[añpo]],ipc!$A:$D,4,FALSE),Tabla3_1[[#This Row],[Valor]])</f>
        <v/>
      </c>
    </row>
    <row r="814">
      <c r="A814" t="n">
        <v>2022</v>
      </c>
      <c r="B814" t="inlineStr">
        <is>
          <t>Total en ARS</t>
        </is>
      </c>
      <c r="C814" t="inlineStr">
        <is>
          <t>Títulos públicos</t>
        </is>
      </c>
      <c r="E814">
        <f>IF(OR(Tabla3_1[[#This Row],[moneda]]="Total en ARS",Tabla3_1[[#This Row],[moneda]]="pesos"),Tabla3_1[[#This Row],[Valor]]*VLOOKUP(Tabla3_1[[#This Row],[añpo]],ipc!$A:$D,4,FALSE),Tabla3_1[[#This Row],[Valor]])</f>
        <v/>
      </c>
    </row>
    <row r="815">
      <c r="A815" t="n">
        <v>2022</v>
      </c>
      <c r="B815" t="inlineStr">
        <is>
          <t>Total en ARS</t>
        </is>
      </c>
      <c r="C815" t="inlineStr">
        <is>
          <t>Letras del Tesoro Ley 3395 art. 2</t>
        </is>
      </c>
      <c r="E815">
        <f>IF(OR(Tabla3_1[[#This Row],[moneda]]="Total en ARS",Tabla3_1[[#This Row],[moneda]]="pesos"),Tabla3_1[[#This Row],[Valor]]*VLOOKUP(Tabla3_1[[#This Row],[añpo]],ipc!$A:$D,4,FALSE),Tabla3_1[[#This Row],[Valor]])</f>
        <v/>
      </c>
    </row>
    <row r="816">
      <c r="A816" t="n">
        <v>2022</v>
      </c>
      <c r="B816" t="inlineStr">
        <is>
          <t>Total en ARS</t>
        </is>
      </c>
      <c r="C816" t="inlineStr">
        <is>
          <t xml:space="preserve">Deuda financiera </t>
        </is>
      </c>
      <c r="D816" t="n">
        <v>5133.364</v>
      </c>
      <c r="E816">
        <f>IF(OR(Tabla3_1[[#This Row],[moneda]]="Total en ARS",Tabla3_1[[#This Row],[moneda]]="pesos"),Tabla3_1[[#This Row],[Valor]]*VLOOKUP(Tabla3_1[[#This Row],[añpo]],ipc!$A:$D,4,FALSE),Tabla3_1[[#This Row],[Valor]])</f>
        <v/>
      </c>
    </row>
    <row r="817">
      <c r="A817" t="n">
        <v>2022</v>
      </c>
      <c r="B817" t="inlineStr">
        <is>
          <t>Total en ARS</t>
        </is>
      </c>
      <c r="C817" t="inlineStr">
        <is>
          <t>Organismos internacionales de crédito</t>
        </is>
      </c>
      <c r="D817" t="n">
        <v>116200.7</v>
      </c>
      <c r="E817">
        <f>IF(OR(Tabla3_1[[#This Row],[moneda]]="Total en ARS",Tabla3_1[[#This Row],[moneda]]="pesos"),Tabla3_1[[#This Row],[Valor]]*VLOOKUP(Tabla3_1[[#This Row],[añpo]],ipc!$A:$D,4,FALSE),Tabla3_1[[#This Row],[Valor]])</f>
        <v/>
      </c>
    </row>
    <row r="818">
      <c r="A818" t="n">
        <v>2022</v>
      </c>
      <c r="B818" t="inlineStr">
        <is>
          <t>Total en ARS</t>
        </is>
      </c>
      <c r="C818" t="inlineStr">
        <is>
          <t>Garantías y/o avales</t>
        </is>
      </c>
      <c r="E818">
        <f>IF(OR(Tabla3_1[[#This Row],[moneda]]="Total en ARS",Tabla3_1[[#This Row],[moneda]]="pesos"),Tabla3_1[[#This Row],[Valor]]*VLOOKUP(Tabla3_1[[#This Row],[añpo]],ipc!$A:$D,4,FALSE),Tabla3_1[[#This Row],[Valor]])</f>
        <v/>
      </c>
    </row>
    <row r="819">
      <c r="A819" t="n">
        <v>2022</v>
      </c>
      <c r="B819" t="inlineStr">
        <is>
          <t>Total en ARS</t>
        </is>
      </c>
      <c r="C819" t="inlineStr">
        <is>
          <t>Acuerdo OSPLAD</t>
        </is>
      </c>
      <c r="E819">
        <f>IF(OR(Tabla3_1[[#This Row],[moneda]]="Total en ARS",Tabla3_1[[#This Row],[moneda]]="pesos"),Tabla3_1[[#This Row],[Valor]]*VLOOKUP(Tabla3_1[[#This Row],[añpo]],ipc!$A:$D,4,FALSE),Tabla3_1[[#This Row],[Valor]])</f>
        <v/>
      </c>
    </row>
    <row r="820">
      <c r="A820" t="n">
        <v>2022</v>
      </c>
      <c r="B820" t="inlineStr">
        <is>
          <t>Total en ARS</t>
        </is>
      </c>
      <c r="C820" t="inlineStr">
        <is>
          <t>Préstamo ANSES - Ley 5603</t>
        </is>
      </c>
      <c r="D820" t="n">
        <v>2733.9</v>
      </c>
      <c r="E820">
        <f>IF(OR(Tabla3_1[[#This Row],[moneda]]="Total en ARS",Tabla3_1[[#This Row],[moneda]]="pesos"),Tabla3_1[[#This Row],[Valor]]*VLOOKUP(Tabla3_1[[#This Row],[añpo]],ipc!$A:$D,4,FALSE),Tabla3_1[[#This Row],[Valor]])</f>
        <v/>
      </c>
    </row>
    <row r="821">
      <c r="A821" t="n">
        <v>2022</v>
      </c>
      <c r="B821" t="inlineStr">
        <is>
          <t>pesos</t>
        </is>
      </c>
      <c r="C821" t="inlineStr">
        <is>
          <t>Proveedores y Contratistas</t>
        </is>
      </c>
      <c r="D821" t="n">
        <v>80123.2</v>
      </c>
      <c r="E821">
        <f>IF(OR(Tabla3_1[[#This Row],[moneda]]="Total en ARS",Tabla3_1[[#This Row],[moneda]]="pesos"),Tabla3_1[[#This Row],[Valor]]*VLOOKUP(Tabla3_1[[#This Row],[añpo]],ipc!$A:$D,4,FALSE),Tabla3_1[[#This Row],[Valor]])</f>
        <v/>
      </c>
    </row>
    <row r="822">
      <c r="A822" t="n">
        <v>2022</v>
      </c>
      <c r="B822" t="inlineStr">
        <is>
          <t>pesos</t>
        </is>
      </c>
      <c r="C822" t="inlineStr">
        <is>
          <t>Deuda previsional</t>
        </is>
      </c>
      <c r="E822">
        <f>IF(OR(Tabla3_1[[#This Row],[moneda]]="Total en ARS",Tabla3_1[[#This Row],[moneda]]="pesos"),Tabla3_1[[#This Row],[Valor]]*VLOOKUP(Tabla3_1[[#This Row],[añpo]],ipc!$A:$D,4,FALSE),Tabla3_1[[#This Row],[Valor]])</f>
        <v/>
      </c>
    </row>
    <row r="823">
      <c r="A823" t="n">
        <v>2022</v>
      </c>
      <c r="B823" t="inlineStr">
        <is>
          <t>pesos</t>
        </is>
      </c>
      <c r="C823" t="inlineStr">
        <is>
          <t>Títulos públicos</t>
        </is>
      </c>
      <c r="E823">
        <f>IF(OR(Tabla3_1[[#This Row],[moneda]]="Total en ARS",Tabla3_1[[#This Row],[moneda]]="pesos"),Tabla3_1[[#This Row],[Valor]]*VLOOKUP(Tabla3_1[[#This Row],[añpo]],ipc!$A:$D,4,FALSE),Tabla3_1[[#This Row],[Valor]])</f>
        <v/>
      </c>
    </row>
    <row r="824">
      <c r="A824" t="n">
        <v>2022</v>
      </c>
      <c r="B824" t="inlineStr">
        <is>
          <t>pesos</t>
        </is>
      </c>
      <c r="C824" t="inlineStr">
        <is>
          <t>Letras del Tesoro Ley 3395 art. 2</t>
        </is>
      </c>
      <c r="E824">
        <f>IF(OR(Tabla3_1[[#This Row],[moneda]]="Total en ARS",Tabla3_1[[#This Row],[moneda]]="pesos"),Tabla3_1[[#This Row],[Valor]]*VLOOKUP(Tabla3_1[[#This Row],[añpo]],ipc!$A:$D,4,FALSE),Tabla3_1[[#This Row],[Valor]])</f>
        <v/>
      </c>
    </row>
    <row r="825">
      <c r="A825" t="n">
        <v>2022</v>
      </c>
      <c r="B825" t="inlineStr">
        <is>
          <t>pesos</t>
        </is>
      </c>
      <c r="C825" t="inlineStr">
        <is>
          <t xml:space="preserve">Deuda financiera </t>
        </is>
      </c>
      <c r="E825">
        <f>IF(OR(Tabla3_1[[#This Row],[moneda]]="Total en ARS",Tabla3_1[[#This Row],[moneda]]="pesos"),Tabla3_1[[#This Row],[Valor]]*VLOOKUP(Tabla3_1[[#This Row],[añpo]],ipc!$A:$D,4,FALSE),Tabla3_1[[#This Row],[Valor]])</f>
        <v/>
      </c>
    </row>
    <row r="826">
      <c r="A826" t="n">
        <v>2022</v>
      </c>
      <c r="B826" t="inlineStr">
        <is>
          <t>pesos</t>
        </is>
      </c>
      <c r="C826" t="inlineStr">
        <is>
          <t>Organismos internacionales de crédito</t>
        </is>
      </c>
      <c r="D826" t="n">
        <v>753.2</v>
      </c>
      <c r="E826">
        <f>IF(OR(Tabla3_1[[#This Row],[moneda]]="Total en ARS",Tabla3_1[[#This Row],[moneda]]="pesos"),Tabla3_1[[#This Row],[Valor]]*VLOOKUP(Tabla3_1[[#This Row],[añpo]],ipc!$A:$D,4,FALSE),Tabla3_1[[#This Row],[Valor]])</f>
        <v/>
      </c>
    </row>
    <row r="827">
      <c r="A827" t="n">
        <v>2022</v>
      </c>
      <c r="B827" t="inlineStr">
        <is>
          <t>pesos</t>
        </is>
      </c>
      <c r="C827" t="inlineStr">
        <is>
          <t>Garantías y/o avales</t>
        </is>
      </c>
      <c r="E827">
        <f>IF(OR(Tabla3_1[[#This Row],[moneda]]="Total en ARS",Tabla3_1[[#This Row],[moneda]]="pesos"),Tabla3_1[[#This Row],[Valor]]*VLOOKUP(Tabla3_1[[#This Row],[añpo]],ipc!$A:$D,4,FALSE),Tabla3_1[[#This Row],[Valor]])</f>
        <v/>
      </c>
    </row>
    <row r="828">
      <c r="A828" t="n">
        <v>2022</v>
      </c>
      <c r="B828" t="inlineStr">
        <is>
          <t>pesos</t>
        </is>
      </c>
      <c r="C828" t="inlineStr">
        <is>
          <t>Acuerdo OSPLAD</t>
        </is>
      </c>
      <c r="E828">
        <f>IF(OR(Tabla3_1[[#This Row],[moneda]]="Total en ARS",Tabla3_1[[#This Row],[moneda]]="pesos"),Tabla3_1[[#This Row],[Valor]]*VLOOKUP(Tabla3_1[[#This Row],[añpo]],ipc!$A:$D,4,FALSE),Tabla3_1[[#This Row],[Valor]])</f>
        <v/>
      </c>
    </row>
    <row r="829">
      <c r="A829" t="n">
        <v>2022</v>
      </c>
      <c r="B829" t="inlineStr">
        <is>
          <t>pesos</t>
        </is>
      </c>
      <c r="C829" t="inlineStr">
        <is>
          <t>Préstamo ANSES - Ley 5603</t>
        </is>
      </c>
      <c r="D829" t="n">
        <v>2733.9</v>
      </c>
      <c r="E829">
        <f>IF(OR(Tabla3_1[[#This Row],[moneda]]="Total en ARS",Tabla3_1[[#This Row],[moneda]]="pesos"),Tabla3_1[[#This Row],[Valor]]*VLOOKUP(Tabla3_1[[#This Row],[añpo]],ipc!$A:$D,4,FALSE),Tabla3_1[[#This Row],[Valor]])</f>
        <v/>
      </c>
    </row>
    <row r="830">
      <c r="A830" t="n">
        <v>2022</v>
      </c>
      <c r="B830" t="inlineStr">
        <is>
          <t>dólares</t>
        </is>
      </c>
      <c r="C830" t="inlineStr">
        <is>
          <t>Proveedores y Contratistas</t>
        </is>
      </c>
      <c r="D830" t="n">
        <v>1520</v>
      </c>
      <c r="E830">
        <f>IF(OR(Tabla3_1[[#This Row],[moneda]]="Total en ARS",Tabla3_1[[#This Row],[moneda]]="pesos"),Tabla3_1[[#This Row],[Valor]]*VLOOKUP(Tabla3_1[[#This Row],[añpo]],ipc!$A:$D,4,FALSE),Tabla3_1[[#This Row],[Valor]])</f>
        <v/>
      </c>
    </row>
    <row r="831">
      <c r="A831" t="n">
        <v>2022</v>
      </c>
      <c r="B831" t="inlineStr">
        <is>
          <t>dólares</t>
        </is>
      </c>
      <c r="C831" t="inlineStr">
        <is>
          <t>Deuda previsional</t>
        </is>
      </c>
      <c r="E831">
        <f>IF(OR(Tabla3_1[[#This Row],[moneda]]="Total en ARS",Tabla3_1[[#This Row],[moneda]]="pesos"),Tabla3_1[[#This Row],[Valor]]*VLOOKUP(Tabla3_1[[#This Row],[añpo]],ipc!$A:$D,4,FALSE),Tabla3_1[[#This Row],[Valor]])</f>
        <v/>
      </c>
    </row>
    <row r="832">
      <c r="A832" t="n">
        <v>2022</v>
      </c>
      <c r="B832" t="inlineStr">
        <is>
          <t>dólares</t>
        </is>
      </c>
      <c r="C832" t="inlineStr">
        <is>
          <t>Títulos públicos</t>
        </is>
      </c>
      <c r="E832">
        <f>IF(OR(Tabla3_1[[#This Row],[moneda]]="Total en ARS",Tabla3_1[[#This Row],[moneda]]="pesos"),Tabla3_1[[#This Row],[Valor]]*VLOOKUP(Tabla3_1[[#This Row],[añpo]],ipc!$A:$D,4,FALSE),Tabla3_1[[#This Row],[Valor]])</f>
        <v/>
      </c>
    </row>
    <row r="833">
      <c r="A833" t="n">
        <v>2022</v>
      </c>
      <c r="B833" t="inlineStr">
        <is>
          <t>dólares</t>
        </is>
      </c>
      <c r="C833" t="inlineStr">
        <is>
          <t>Letras del Tesoro Ley 3395 art. 2</t>
        </is>
      </c>
      <c r="E833">
        <f>IF(OR(Tabla3_1[[#This Row],[moneda]]="Total en ARS",Tabla3_1[[#This Row],[moneda]]="pesos"),Tabla3_1[[#This Row],[Valor]]*VLOOKUP(Tabla3_1[[#This Row],[añpo]],ipc!$A:$D,4,FALSE),Tabla3_1[[#This Row],[Valor]])</f>
        <v/>
      </c>
    </row>
    <row r="834">
      <c r="A834" t="n">
        <v>2022</v>
      </c>
      <c r="B834" t="inlineStr">
        <is>
          <t>dólares</t>
        </is>
      </c>
      <c r="C834" t="inlineStr">
        <is>
          <t xml:space="preserve">Deuda financiera </t>
        </is>
      </c>
      <c r="E834">
        <f>IF(OR(Tabla3_1[[#This Row],[moneda]]="Total en ARS",Tabla3_1[[#This Row],[moneda]]="pesos"),Tabla3_1[[#This Row],[Valor]]*VLOOKUP(Tabla3_1[[#This Row],[añpo]],ipc!$A:$D,4,FALSE),Tabla3_1[[#This Row],[Valor]])</f>
        <v/>
      </c>
    </row>
    <row r="835">
      <c r="A835" t="n">
        <v>2022</v>
      </c>
      <c r="B835" t="inlineStr">
        <is>
          <t>dólares</t>
        </is>
      </c>
      <c r="C835" t="inlineStr">
        <is>
          <t>Organismos internacionales de crédito</t>
        </is>
      </c>
      <c r="D835" t="n">
        <v>630</v>
      </c>
      <c r="E835">
        <f>IF(OR(Tabla3_1[[#This Row],[moneda]]="Total en ARS",Tabla3_1[[#This Row],[moneda]]="pesos"),Tabla3_1[[#This Row],[Valor]]*VLOOKUP(Tabla3_1[[#This Row],[añpo]],ipc!$A:$D,4,FALSE),Tabla3_1[[#This Row],[Valor]])</f>
        <v/>
      </c>
    </row>
    <row r="836">
      <c r="A836" t="n">
        <v>2022</v>
      </c>
      <c r="B836" t="inlineStr">
        <is>
          <t>dólares</t>
        </is>
      </c>
      <c r="C836" t="inlineStr">
        <is>
          <t>Garantías y/o avales</t>
        </is>
      </c>
      <c r="E836">
        <f>IF(OR(Tabla3_1[[#This Row],[moneda]]="Total en ARS",Tabla3_1[[#This Row],[moneda]]="pesos"),Tabla3_1[[#This Row],[Valor]]*VLOOKUP(Tabla3_1[[#This Row],[añpo]],ipc!$A:$D,4,FALSE),Tabla3_1[[#This Row],[Valor]])</f>
        <v/>
      </c>
    </row>
    <row r="837">
      <c r="A837" t="n">
        <v>2022</v>
      </c>
      <c r="B837" t="inlineStr">
        <is>
          <t>dólares</t>
        </is>
      </c>
      <c r="C837" t="inlineStr">
        <is>
          <t>Acuerdo OSPLAD</t>
        </is>
      </c>
      <c r="E837">
        <f>IF(OR(Tabla3_1[[#This Row],[moneda]]="Total en ARS",Tabla3_1[[#This Row],[moneda]]="pesos"),Tabla3_1[[#This Row],[Valor]]*VLOOKUP(Tabla3_1[[#This Row],[añpo]],ipc!$A:$D,4,FALSE),Tabla3_1[[#This Row],[Valor]])</f>
        <v/>
      </c>
    </row>
    <row r="838">
      <c r="A838" t="n">
        <v>2022</v>
      </c>
      <c r="B838" t="inlineStr">
        <is>
          <t>dólares</t>
        </is>
      </c>
      <c r="C838" t="inlineStr">
        <is>
          <t>Préstamo ANSES - Ley 5603</t>
        </is>
      </c>
      <c r="E838">
        <f>IF(OR(Tabla3_1[[#This Row],[moneda]]="Total en ARS",Tabla3_1[[#This Row],[moneda]]="pesos"),Tabla3_1[[#This Row],[Valor]]*VLOOKUP(Tabla3_1[[#This Row],[añpo]],ipc!$A:$D,4,FALSE),Tabla3_1[[#This Row],[Valor]])</f>
        <v/>
      </c>
    </row>
    <row r="839">
      <c r="A839" t="n">
        <v>2022</v>
      </c>
      <c r="B839" t="inlineStr">
        <is>
          <t xml:space="preserve">  euros</t>
        </is>
      </c>
      <c r="C839" t="inlineStr">
        <is>
          <t>Proveedores y Contratistas</t>
        </is>
      </c>
      <c r="E839">
        <f>IF(OR(Tabla3_1[[#This Row],[moneda]]="Total en ARS",Tabla3_1[[#This Row],[moneda]]="pesos"),Tabla3_1[[#This Row],[Valor]]*VLOOKUP(Tabla3_1[[#This Row],[añpo]],ipc!$A:$D,4,FALSE),Tabla3_1[[#This Row],[Valor]])</f>
        <v/>
      </c>
    </row>
    <row r="840">
      <c r="A840" t="n">
        <v>2022</v>
      </c>
      <c r="B840" t="inlineStr">
        <is>
          <t xml:space="preserve">  euros</t>
        </is>
      </c>
      <c r="C840" t="inlineStr">
        <is>
          <t>Deuda previsional</t>
        </is>
      </c>
      <c r="E840">
        <f>IF(OR(Tabla3_1[[#This Row],[moneda]]="Total en ARS",Tabla3_1[[#This Row],[moneda]]="pesos"),Tabla3_1[[#This Row],[Valor]]*VLOOKUP(Tabla3_1[[#This Row],[añpo]],ipc!$A:$D,4,FALSE),Tabla3_1[[#This Row],[Valor]])</f>
        <v/>
      </c>
    </row>
    <row r="841">
      <c r="A841" t="n">
        <v>2022</v>
      </c>
      <c r="B841" t="inlineStr">
        <is>
          <t xml:space="preserve">  euros</t>
        </is>
      </c>
      <c r="C841" t="inlineStr">
        <is>
          <t>Títulos públicos</t>
        </is>
      </c>
      <c r="E841">
        <f>IF(OR(Tabla3_1[[#This Row],[moneda]]="Total en ARS",Tabla3_1[[#This Row],[moneda]]="pesos"),Tabla3_1[[#This Row],[Valor]]*VLOOKUP(Tabla3_1[[#This Row],[añpo]],ipc!$A:$D,4,FALSE),Tabla3_1[[#This Row],[Valor]])</f>
        <v/>
      </c>
    </row>
    <row r="842">
      <c r="A842" t="n">
        <v>2022</v>
      </c>
      <c r="B842" t="inlineStr">
        <is>
          <t xml:space="preserve">  euros</t>
        </is>
      </c>
      <c r="C842" t="inlineStr">
        <is>
          <t>Letras del Tesoro Ley 3395 art. 2</t>
        </is>
      </c>
      <c r="E842">
        <f>IF(OR(Tabla3_1[[#This Row],[moneda]]="Total en ARS",Tabla3_1[[#This Row],[moneda]]="pesos"),Tabla3_1[[#This Row],[Valor]]*VLOOKUP(Tabla3_1[[#This Row],[añpo]],ipc!$A:$D,4,FALSE),Tabla3_1[[#This Row],[Valor]])</f>
        <v/>
      </c>
    </row>
    <row r="843">
      <c r="A843" t="n">
        <v>2022</v>
      </c>
      <c r="B843" t="inlineStr">
        <is>
          <t xml:space="preserve">  euros</t>
        </is>
      </c>
      <c r="C843" t="inlineStr">
        <is>
          <t xml:space="preserve">Deuda financiera </t>
        </is>
      </c>
      <c r="E843">
        <f>IF(OR(Tabla3_1[[#This Row],[moneda]]="Total en ARS",Tabla3_1[[#This Row],[moneda]]="pesos"),Tabla3_1[[#This Row],[Valor]]*VLOOKUP(Tabla3_1[[#This Row],[añpo]],ipc!$A:$D,4,FALSE),Tabla3_1[[#This Row],[Valor]])</f>
        <v/>
      </c>
    </row>
    <row r="844">
      <c r="A844" t="n">
        <v>2022</v>
      </c>
      <c r="B844" t="inlineStr">
        <is>
          <t xml:space="preserve">  euros</t>
        </is>
      </c>
      <c r="C844" t="inlineStr">
        <is>
          <t>Organismos internacionales de crédito</t>
        </is>
      </c>
      <c r="E844">
        <f>IF(OR(Tabla3_1[[#This Row],[moneda]]="Total en ARS",Tabla3_1[[#This Row],[moneda]]="pesos"),Tabla3_1[[#This Row],[Valor]]*VLOOKUP(Tabla3_1[[#This Row],[añpo]],ipc!$A:$D,4,FALSE),Tabla3_1[[#This Row],[Valor]])</f>
        <v/>
      </c>
    </row>
    <row r="845">
      <c r="A845" t="n">
        <v>2022</v>
      </c>
      <c r="B845" t="inlineStr">
        <is>
          <t xml:space="preserve">  euros</t>
        </is>
      </c>
      <c r="C845" t="inlineStr">
        <is>
          <t>Garantías y/o avales</t>
        </is>
      </c>
      <c r="E845">
        <f>IF(OR(Tabla3_1[[#This Row],[moneda]]="Total en ARS",Tabla3_1[[#This Row],[moneda]]="pesos"),Tabla3_1[[#This Row],[Valor]]*VLOOKUP(Tabla3_1[[#This Row],[añpo]],ipc!$A:$D,4,FALSE),Tabla3_1[[#This Row],[Valor]])</f>
        <v/>
      </c>
    </row>
    <row r="846">
      <c r="A846" t="n">
        <v>2022</v>
      </c>
      <c r="B846" t="inlineStr">
        <is>
          <t xml:space="preserve">  euros</t>
        </is>
      </c>
      <c r="C846" t="inlineStr">
        <is>
          <t>Acuerdo OSPLAD</t>
        </is>
      </c>
      <c r="E846">
        <f>IF(OR(Tabla3_1[[#This Row],[moneda]]="Total en ARS",Tabla3_1[[#This Row],[moneda]]="pesos"),Tabla3_1[[#This Row],[Valor]]*VLOOKUP(Tabla3_1[[#This Row],[añpo]],ipc!$A:$D,4,FALSE),Tabla3_1[[#This Row],[Valor]])</f>
        <v/>
      </c>
    </row>
    <row r="847">
      <c r="A847" t="n">
        <v>2022</v>
      </c>
      <c r="B847" t="inlineStr">
        <is>
          <t xml:space="preserve">  euros</t>
        </is>
      </c>
      <c r="C847" t="inlineStr">
        <is>
          <t>Préstamo ANSES - Ley 5603</t>
        </is>
      </c>
      <c r="E847">
        <f>IF(OR(Tabla3_1[[#This Row],[moneda]]="Total en ARS",Tabla3_1[[#This Row],[moneda]]="pesos"),Tabla3_1[[#This Row],[Valor]]*VLOOKUP(Tabla3_1[[#This Row],[añpo]],ipc!$A:$D,4,FALSE),Tabla3_1[[#This Row],[Valor]])</f>
        <v/>
      </c>
    </row>
    <row r="848">
      <c r="A848" t="n">
        <v>2022</v>
      </c>
      <c r="B848" t="inlineStr">
        <is>
          <t>UVAs</t>
        </is>
      </c>
      <c r="C848" t="inlineStr">
        <is>
          <t>Proveedores y Contratistas</t>
        </is>
      </c>
      <c r="D848" t="n">
        <v>27.7</v>
      </c>
      <c r="E848">
        <f>IF(OR(Tabla3_1[[#This Row],[moneda]]="Total en ARS",Tabla3_1[[#This Row],[moneda]]="pesos"),Tabla3_1[[#This Row],[Valor]]*VLOOKUP(Tabla3_1[[#This Row],[añpo]],ipc!$A:$D,4,FALSE),Tabla3_1[[#This Row],[Valor]])</f>
        <v/>
      </c>
    </row>
    <row r="849">
      <c r="A849" t="n">
        <v>2022</v>
      </c>
      <c r="B849" t="inlineStr">
        <is>
          <t>UVAs</t>
        </is>
      </c>
      <c r="C849" t="inlineStr">
        <is>
          <t>Deuda previsional</t>
        </is>
      </c>
      <c r="E849">
        <f>IF(OR(Tabla3_1[[#This Row],[moneda]]="Total en ARS",Tabla3_1[[#This Row],[moneda]]="pesos"),Tabla3_1[[#This Row],[Valor]]*VLOOKUP(Tabla3_1[[#This Row],[añpo]],ipc!$A:$D,4,FALSE),Tabla3_1[[#This Row],[Valor]])</f>
        <v/>
      </c>
    </row>
    <row r="850">
      <c r="A850" t="n">
        <v>2022</v>
      </c>
      <c r="B850" t="inlineStr">
        <is>
          <t>UVAs</t>
        </is>
      </c>
      <c r="C850" t="inlineStr">
        <is>
          <t>Títulos públicos</t>
        </is>
      </c>
      <c r="E850">
        <f>IF(OR(Tabla3_1[[#This Row],[moneda]]="Total en ARS",Tabla3_1[[#This Row],[moneda]]="pesos"),Tabla3_1[[#This Row],[Valor]]*VLOOKUP(Tabla3_1[[#This Row],[añpo]],ipc!$A:$D,4,FALSE),Tabla3_1[[#This Row],[Valor]])</f>
        <v/>
      </c>
    </row>
    <row r="851">
      <c r="A851" t="n">
        <v>2022</v>
      </c>
      <c r="B851" t="inlineStr">
        <is>
          <t>UVAs</t>
        </is>
      </c>
      <c r="C851" t="inlineStr">
        <is>
          <t>Letras del Tesoro Ley 3395 art. 2</t>
        </is>
      </c>
      <c r="E851">
        <f>IF(OR(Tabla3_1[[#This Row],[moneda]]="Total en ARS",Tabla3_1[[#This Row],[moneda]]="pesos"),Tabla3_1[[#This Row],[Valor]]*VLOOKUP(Tabla3_1[[#This Row],[añpo]],ipc!$A:$D,4,FALSE),Tabla3_1[[#This Row],[Valor]])</f>
        <v/>
      </c>
    </row>
    <row r="852">
      <c r="A852" t="n">
        <v>2022</v>
      </c>
      <c r="B852" t="inlineStr">
        <is>
          <t>UVAs</t>
        </is>
      </c>
      <c r="C852" t="inlineStr">
        <is>
          <t xml:space="preserve">Deuda financiera </t>
        </is>
      </c>
      <c r="D852" t="n">
        <v>27.7</v>
      </c>
      <c r="E852">
        <f>IF(OR(Tabla3_1[[#This Row],[moneda]]="Total en ARS",Tabla3_1[[#This Row],[moneda]]="pesos"),Tabla3_1[[#This Row],[Valor]]*VLOOKUP(Tabla3_1[[#This Row],[añpo]],ipc!$A:$D,4,FALSE),Tabla3_1[[#This Row],[Valor]])</f>
        <v/>
      </c>
    </row>
    <row r="853">
      <c r="A853" t="n">
        <v>2022</v>
      </c>
      <c r="B853" t="inlineStr">
        <is>
          <t>UVAs</t>
        </is>
      </c>
      <c r="C853" t="inlineStr">
        <is>
          <t>Organismos internacionales de crédito</t>
        </is>
      </c>
      <c r="E853">
        <f>IF(OR(Tabla3_1[[#This Row],[moneda]]="Total en ARS",Tabla3_1[[#This Row],[moneda]]="pesos"),Tabla3_1[[#This Row],[Valor]]*VLOOKUP(Tabla3_1[[#This Row],[añpo]],ipc!$A:$D,4,FALSE),Tabla3_1[[#This Row],[Valor]])</f>
        <v/>
      </c>
    </row>
    <row r="854">
      <c r="A854" t="n">
        <v>2022</v>
      </c>
      <c r="B854" t="inlineStr">
        <is>
          <t>UVAs</t>
        </is>
      </c>
      <c r="C854" t="inlineStr">
        <is>
          <t>Garantías y/o avales</t>
        </is>
      </c>
      <c r="E854">
        <f>IF(OR(Tabla3_1[[#This Row],[moneda]]="Total en ARS",Tabla3_1[[#This Row],[moneda]]="pesos"),Tabla3_1[[#This Row],[Valor]]*VLOOKUP(Tabla3_1[[#This Row],[añpo]],ipc!$A:$D,4,FALSE),Tabla3_1[[#This Row],[Valor]])</f>
        <v/>
      </c>
    </row>
    <row r="855">
      <c r="A855" t="n">
        <v>2022</v>
      </c>
      <c r="B855" t="inlineStr">
        <is>
          <t>UVAs</t>
        </is>
      </c>
      <c r="C855" t="inlineStr">
        <is>
          <t>Acuerdo OSPLAD</t>
        </is>
      </c>
      <c r="E855">
        <f>IF(OR(Tabla3_1[[#This Row],[moneda]]="Total en ARS",Tabla3_1[[#This Row],[moneda]]="pesos"),Tabla3_1[[#This Row],[Valor]]*VLOOKUP(Tabla3_1[[#This Row],[añpo]],ipc!$A:$D,4,FALSE),Tabla3_1[[#This Row],[Valor]])</f>
        <v/>
      </c>
    </row>
    <row r="856">
      <c r="A856" t="n">
        <v>2022</v>
      </c>
      <c r="B856" t="inlineStr">
        <is>
          <t>UVAs</t>
        </is>
      </c>
      <c r="C856" t="inlineStr">
        <is>
          <t>Préstamo ANSES - Ley 5603</t>
        </is>
      </c>
      <c r="E856">
        <f>IF(OR(Tabla3_1[[#This Row],[moneda]]="Total en ARS",Tabla3_1[[#This Row],[moneda]]="pesos"),Tabla3_1[[#This Row],[Valor]]*VLOOKUP(Tabla3_1[[#This Row],[añpo]],ipc!$A:$D,4,FALSE),Tabla3_1[[#This Row],[Valor]])</f>
        <v/>
      </c>
    </row>
    <row r="857">
      <c r="A857" t="n">
        <v>2023</v>
      </c>
      <c r="B857" t="inlineStr">
        <is>
          <t>Total en ARS</t>
        </is>
      </c>
      <c r="C857" t="inlineStr">
        <is>
          <t>Proveedores y Contratistas</t>
        </is>
      </c>
      <c r="D857" t="n">
        <v>1336868.4</v>
      </c>
      <c r="E857">
        <f>IF(OR(Tabla3_1[[#This Row],[moneda]]="Total en ARS",Tabla3_1[[#This Row],[moneda]]="pesos"),Tabla3_1[[#This Row],[Valor]]*VLOOKUP(Tabla3_1[[#This Row],[añpo]],ipc!$A:$D,4,FALSE),Tabla3_1[[#This Row],[Valor]])</f>
        <v/>
      </c>
    </row>
    <row r="858">
      <c r="A858" t="n">
        <v>2023</v>
      </c>
      <c r="B858" t="inlineStr">
        <is>
          <t>Total en ARS</t>
        </is>
      </c>
      <c r="C858" t="inlineStr">
        <is>
          <t>Deuda previsional</t>
        </is>
      </c>
      <c r="E858">
        <f>IF(OR(Tabla3_1[[#This Row],[moneda]]="Total en ARS",Tabla3_1[[#This Row],[moneda]]="pesos"),Tabla3_1[[#This Row],[Valor]]*VLOOKUP(Tabla3_1[[#This Row],[añpo]],ipc!$A:$D,4,FALSE),Tabla3_1[[#This Row],[Valor]])</f>
        <v/>
      </c>
    </row>
    <row r="859">
      <c r="A859" t="n">
        <v>2023</v>
      </c>
      <c r="B859" t="inlineStr">
        <is>
          <t>Total en ARS</t>
        </is>
      </c>
      <c r="C859" t="inlineStr">
        <is>
          <t>Títulos públicos</t>
        </is>
      </c>
      <c r="E859">
        <f>IF(OR(Tabla3_1[[#This Row],[moneda]]="Total en ARS",Tabla3_1[[#This Row],[moneda]]="pesos"),Tabla3_1[[#This Row],[Valor]]*VLOOKUP(Tabla3_1[[#This Row],[añpo]],ipc!$A:$D,4,FALSE),Tabla3_1[[#This Row],[Valor]])</f>
        <v/>
      </c>
    </row>
    <row r="860">
      <c r="A860" t="n">
        <v>2023</v>
      </c>
      <c r="B860" t="inlineStr">
        <is>
          <t>Total en ARS</t>
        </is>
      </c>
      <c r="C860" t="inlineStr">
        <is>
          <t>Letras del Tesoro Ley 3395 art. 2</t>
        </is>
      </c>
      <c r="E860">
        <f>IF(OR(Tabla3_1[[#This Row],[moneda]]="Total en ARS",Tabla3_1[[#This Row],[moneda]]="pesos"),Tabla3_1[[#This Row],[Valor]]*VLOOKUP(Tabla3_1[[#This Row],[añpo]],ipc!$A:$D,4,FALSE),Tabla3_1[[#This Row],[Valor]])</f>
        <v/>
      </c>
    </row>
    <row r="861">
      <c r="A861" t="n">
        <v>2023</v>
      </c>
      <c r="B861" t="inlineStr">
        <is>
          <t>Total en ARS</t>
        </is>
      </c>
      <c r="C861" t="inlineStr">
        <is>
          <t xml:space="preserve">Deuda financiera </t>
        </is>
      </c>
      <c r="E861">
        <f>IF(OR(Tabla3_1[[#This Row],[moneda]]="Total en ARS",Tabla3_1[[#This Row],[moneda]]="pesos"),Tabla3_1[[#This Row],[Valor]]*VLOOKUP(Tabla3_1[[#This Row],[añpo]],ipc!$A:$D,4,FALSE),Tabla3_1[[#This Row],[Valor]])</f>
        <v/>
      </c>
    </row>
    <row r="862">
      <c r="A862" t="n">
        <v>2023</v>
      </c>
      <c r="B862" t="inlineStr">
        <is>
          <t>Total en ARS</t>
        </is>
      </c>
      <c r="C862" t="inlineStr">
        <is>
          <t>Organismos internacionales de crédito</t>
        </is>
      </c>
      <c r="D862" t="n">
        <v>538038.4</v>
      </c>
      <c r="E862">
        <f>IF(OR(Tabla3_1[[#This Row],[moneda]]="Total en ARS",Tabla3_1[[#This Row],[moneda]]="pesos"),Tabla3_1[[#This Row],[Valor]]*VLOOKUP(Tabla3_1[[#This Row],[añpo]],ipc!$A:$D,4,FALSE),Tabla3_1[[#This Row],[Valor]])</f>
        <v/>
      </c>
    </row>
    <row r="863">
      <c r="A863" t="n">
        <v>2023</v>
      </c>
      <c r="B863" t="inlineStr">
        <is>
          <t>Total en ARS</t>
        </is>
      </c>
      <c r="C863" t="inlineStr">
        <is>
          <t>Garantías y/o avales</t>
        </is>
      </c>
      <c r="E863">
        <f>IF(OR(Tabla3_1[[#This Row],[moneda]]="Total en ARS",Tabla3_1[[#This Row],[moneda]]="pesos"),Tabla3_1[[#This Row],[Valor]]*VLOOKUP(Tabla3_1[[#This Row],[añpo]],ipc!$A:$D,4,FALSE),Tabla3_1[[#This Row],[Valor]])</f>
        <v/>
      </c>
    </row>
    <row r="864">
      <c r="A864" t="n">
        <v>2023</v>
      </c>
      <c r="B864" t="inlineStr">
        <is>
          <t>Total en ARS</t>
        </is>
      </c>
      <c r="C864" t="inlineStr">
        <is>
          <t>Acuerdo OSPLAD</t>
        </is>
      </c>
      <c r="E864">
        <f>IF(OR(Tabla3_1[[#This Row],[moneda]]="Total en ARS",Tabla3_1[[#This Row],[moneda]]="pesos"),Tabla3_1[[#This Row],[Valor]]*VLOOKUP(Tabla3_1[[#This Row],[añpo]],ipc!$A:$D,4,FALSE),Tabla3_1[[#This Row],[Valor]])</f>
        <v/>
      </c>
    </row>
    <row r="865">
      <c r="A865" t="n">
        <v>2023</v>
      </c>
      <c r="B865" t="inlineStr">
        <is>
          <t>Total en ARS</t>
        </is>
      </c>
      <c r="C865" t="inlineStr">
        <is>
          <t>Préstamo ANSES - Ley 5603</t>
        </is>
      </c>
      <c r="E865">
        <f>IF(OR(Tabla3_1[[#This Row],[moneda]]="Total en ARS",Tabla3_1[[#This Row],[moneda]]="pesos"),Tabla3_1[[#This Row],[Valor]]*VLOOKUP(Tabla3_1[[#This Row],[añpo]],ipc!$A:$D,4,FALSE),Tabla3_1[[#This Row],[Valor]])</f>
        <v/>
      </c>
    </row>
    <row r="866">
      <c r="A866" t="n">
        <v>2023</v>
      </c>
      <c r="B866" t="inlineStr">
        <is>
          <t>pesos</t>
        </is>
      </c>
      <c r="C866" t="inlineStr">
        <is>
          <t>Proveedores y Contratistas</t>
        </is>
      </c>
      <c r="D866" t="n">
        <v>62225.5</v>
      </c>
      <c r="E866">
        <f>IF(OR(Tabla3_1[[#This Row],[moneda]]="Total en ARS",Tabla3_1[[#This Row],[moneda]]="pesos"),Tabla3_1[[#This Row],[Valor]]*VLOOKUP(Tabla3_1[[#This Row],[añpo]],ipc!$A:$D,4,FALSE),Tabla3_1[[#This Row],[Valor]])</f>
        <v/>
      </c>
    </row>
    <row r="867">
      <c r="A867" t="n">
        <v>2023</v>
      </c>
      <c r="B867" t="inlineStr">
        <is>
          <t>pesos</t>
        </is>
      </c>
      <c r="C867" t="inlineStr">
        <is>
          <t>Deuda previsional</t>
        </is>
      </c>
      <c r="E867">
        <f>IF(OR(Tabla3_1[[#This Row],[moneda]]="Total en ARS",Tabla3_1[[#This Row],[moneda]]="pesos"),Tabla3_1[[#This Row],[Valor]]*VLOOKUP(Tabla3_1[[#This Row],[añpo]],ipc!$A:$D,4,FALSE),Tabla3_1[[#This Row],[Valor]])</f>
        <v/>
      </c>
    </row>
    <row r="868">
      <c r="A868" t="n">
        <v>2023</v>
      </c>
      <c r="B868" t="inlineStr">
        <is>
          <t>pesos</t>
        </is>
      </c>
      <c r="C868" t="inlineStr">
        <is>
          <t>Títulos públicos</t>
        </is>
      </c>
      <c r="E868">
        <f>IF(OR(Tabla3_1[[#This Row],[moneda]]="Total en ARS",Tabla3_1[[#This Row],[moneda]]="pesos"),Tabla3_1[[#This Row],[Valor]]*VLOOKUP(Tabla3_1[[#This Row],[añpo]],ipc!$A:$D,4,FALSE),Tabla3_1[[#This Row],[Valor]])</f>
        <v/>
      </c>
    </row>
    <row r="869">
      <c r="A869" t="n">
        <v>2023</v>
      </c>
      <c r="B869" t="inlineStr">
        <is>
          <t>pesos</t>
        </is>
      </c>
      <c r="C869" t="inlineStr">
        <is>
          <t>Letras del Tesoro Ley 3395 art. 2</t>
        </is>
      </c>
      <c r="E869">
        <f>IF(OR(Tabla3_1[[#This Row],[moneda]]="Total en ARS",Tabla3_1[[#This Row],[moneda]]="pesos"),Tabla3_1[[#This Row],[Valor]]*VLOOKUP(Tabla3_1[[#This Row],[añpo]],ipc!$A:$D,4,FALSE),Tabla3_1[[#This Row],[Valor]])</f>
        <v/>
      </c>
    </row>
    <row r="870">
      <c r="A870" t="n">
        <v>2023</v>
      </c>
      <c r="B870" t="inlineStr">
        <is>
          <t>pesos</t>
        </is>
      </c>
      <c r="C870" t="inlineStr">
        <is>
          <t xml:space="preserve">Deuda financiera </t>
        </is>
      </c>
      <c r="E870">
        <f>IF(OR(Tabla3_1[[#This Row],[moneda]]="Total en ARS",Tabla3_1[[#This Row],[moneda]]="pesos"),Tabla3_1[[#This Row],[Valor]]*VLOOKUP(Tabla3_1[[#This Row],[añpo]],ipc!$A:$D,4,FALSE),Tabla3_1[[#This Row],[Valor]])</f>
        <v/>
      </c>
    </row>
    <row r="871">
      <c r="A871" t="n">
        <v>2023</v>
      </c>
      <c r="B871" t="inlineStr">
        <is>
          <t>pesos</t>
        </is>
      </c>
      <c r="C871" t="inlineStr">
        <is>
          <t>Organismos internacionales de crédito</t>
        </is>
      </c>
      <c r="D871" t="n">
        <v>538</v>
      </c>
      <c r="E871">
        <f>IF(OR(Tabla3_1[[#This Row],[moneda]]="Total en ARS",Tabla3_1[[#This Row],[moneda]]="pesos"),Tabla3_1[[#This Row],[Valor]]*VLOOKUP(Tabla3_1[[#This Row],[añpo]],ipc!$A:$D,4,FALSE),Tabla3_1[[#This Row],[Valor]])</f>
        <v/>
      </c>
    </row>
    <row r="872">
      <c r="A872" t="n">
        <v>2023</v>
      </c>
      <c r="B872" t="inlineStr">
        <is>
          <t>pesos</t>
        </is>
      </c>
      <c r="C872" t="inlineStr">
        <is>
          <t>Garantías y/o avales</t>
        </is>
      </c>
      <c r="E872">
        <f>IF(OR(Tabla3_1[[#This Row],[moneda]]="Total en ARS",Tabla3_1[[#This Row],[moneda]]="pesos"),Tabla3_1[[#This Row],[Valor]]*VLOOKUP(Tabla3_1[[#This Row],[añpo]],ipc!$A:$D,4,FALSE),Tabla3_1[[#This Row],[Valor]])</f>
        <v/>
      </c>
    </row>
    <row r="873">
      <c r="A873" t="n">
        <v>2023</v>
      </c>
      <c r="B873" t="inlineStr">
        <is>
          <t>pesos</t>
        </is>
      </c>
      <c r="C873" t="inlineStr">
        <is>
          <t>Acuerdo OSPLAD</t>
        </is>
      </c>
      <c r="E873">
        <f>IF(OR(Tabla3_1[[#This Row],[moneda]]="Total en ARS",Tabla3_1[[#This Row],[moneda]]="pesos"),Tabla3_1[[#This Row],[Valor]]*VLOOKUP(Tabla3_1[[#This Row],[añpo]],ipc!$A:$D,4,FALSE),Tabla3_1[[#This Row],[Valor]])</f>
        <v/>
      </c>
    </row>
    <row r="874">
      <c r="A874" t="n">
        <v>2023</v>
      </c>
      <c r="B874" t="inlineStr">
        <is>
          <t>pesos</t>
        </is>
      </c>
      <c r="C874" t="inlineStr">
        <is>
          <t>Préstamo ANSES - Ley 5603</t>
        </is>
      </c>
      <c r="E874">
        <f>IF(OR(Tabla3_1[[#This Row],[moneda]]="Total en ARS",Tabla3_1[[#This Row],[moneda]]="pesos"),Tabla3_1[[#This Row],[Valor]]*VLOOKUP(Tabla3_1[[#This Row],[añpo]],ipc!$A:$D,4,FALSE),Tabla3_1[[#This Row],[Valor]])</f>
        <v/>
      </c>
    </row>
    <row r="875">
      <c r="A875" t="n">
        <v>2023</v>
      </c>
      <c r="B875" t="inlineStr">
        <is>
          <t>dólares</t>
        </is>
      </c>
      <c r="C875" t="inlineStr">
        <is>
          <t>Proveedores y Contratistas</t>
        </is>
      </c>
      <c r="D875" t="n">
        <v>1539</v>
      </c>
      <c r="E875">
        <f>IF(OR(Tabla3_1[[#This Row],[moneda]]="Total en ARS",Tabla3_1[[#This Row],[moneda]]="pesos"),Tabla3_1[[#This Row],[Valor]]*VLOOKUP(Tabla3_1[[#This Row],[añpo]],ipc!$A:$D,4,FALSE),Tabla3_1[[#This Row],[Valor]])</f>
        <v/>
      </c>
    </row>
    <row r="876">
      <c r="A876" t="n">
        <v>2023</v>
      </c>
      <c r="B876" t="inlineStr">
        <is>
          <t>dólares</t>
        </is>
      </c>
      <c r="C876" t="inlineStr">
        <is>
          <t>Deuda previsional</t>
        </is>
      </c>
      <c r="E876">
        <f>IF(OR(Tabla3_1[[#This Row],[moneda]]="Total en ARS",Tabla3_1[[#This Row],[moneda]]="pesos"),Tabla3_1[[#This Row],[Valor]]*VLOOKUP(Tabla3_1[[#This Row],[añpo]],ipc!$A:$D,4,FALSE),Tabla3_1[[#This Row],[Valor]])</f>
        <v/>
      </c>
    </row>
    <row r="877">
      <c r="A877" t="n">
        <v>2023</v>
      </c>
      <c r="B877" t="inlineStr">
        <is>
          <t>dólares</t>
        </is>
      </c>
      <c r="C877" t="inlineStr">
        <is>
          <t>Títulos públicos</t>
        </is>
      </c>
      <c r="E877">
        <f>IF(OR(Tabla3_1[[#This Row],[moneda]]="Total en ARS",Tabla3_1[[#This Row],[moneda]]="pesos"),Tabla3_1[[#This Row],[Valor]]*VLOOKUP(Tabla3_1[[#This Row],[añpo]],ipc!$A:$D,4,FALSE),Tabla3_1[[#This Row],[Valor]])</f>
        <v/>
      </c>
    </row>
    <row r="878">
      <c r="A878" t="n">
        <v>2023</v>
      </c>
      <c r="B878" t="inlineStr">
        <is>
          <t>dólares</t>
        </is>
      </c>
      <c r="C878" t="inlineStr">
        <is>
          <t>Letras del Tesoro Ley 3395 art. 2</t>
        </is>
      </c>
      <c r="E878">
        <f>IF(OR(Tabla3_1[[#This Row],[moneda]]="Total en ARS",Tabla3_1[[#This Row],[moneda]]="pesos"),Tabla3_1[[#This Row],[Valor]]*VLOOKUP(Tabla3_1[[#This Row],[añpo]],ipc!$A:$D,4,FALSE),Tabla3_1[[#This Row],[Valor]])</f>
        <v/>
      </c>
    </row>
    <row r="879">
      <c r="A879" t="n">
        <v>2023</v>
      </c>
      <c r="B879" t="inlineStr">
        <is>
          <t>dólares</t>
        </is>
      </c>
      <c r="C879" t="inlineStr">
        <is>
          <t xml:space="preserve">Deuda financiera </t>
        </is>
      </c>
      <c r="E879">
        <f>IF(OR(Tabla3_1[[#This Row],[moneda]]="Total en ARS",Tabla3_1[[#This Row],[moneda]]="pesos"),Tabla3_1[[#This Row],[Valor]]*VLOOKUP(Tabla3_1[[#This Row],[añpo]],ipc!$A:$D,4,FALSE),Tabla3_1[[#This Row],[Valor]])</f>
        <v/>
      </c>
    </row>
    <row r="880">
      <c r="A880" t="n">
        <v>2023</v>
      </c>
      <c r="B880" t="inlineStr">
        <is>
          <t>dólares</t>
        </is>
      </c>
      <c r="C880" t="inlineStr">
        <is>
          <t>Organismos internacionales de crédito</t>
        </is>
      </c>
      <c r="D880" t="n">
        <v>649</v>
      </c>
      <c r="E880">
        <f>IF(OR(Tabla3_1[[#This Row],[moneda]]="Total en ARS",Tabla3_1[[#This Row],[moneda]]="pesos"),Tabla3_1[[#This Row],[Valor]]*VLOOKUP(Tabla3_1[[#This Row],[añpo]],ipc!$A:$D,4,FALSE),Tabla3_1[[#This Row],[Valor]])</f>
        <v/>
      </c>
    </row>
    <row r="881">
      <c r="A881" t="n">
        <v>2023</v>
      </c>
      <c r="B881" t="inlineStr">
        <is>
          <t>dólares</t>
        </is>
      </c>
      <c r="C881" t="inlineStr">
        <is>
          <t>Garantías y/o avales</t>
        </is>
      </c>
      <c r="E881">
        <f>IF(OR(Tabla3_1[[#This Row],[moneda]]="Total en ARS",Tabla3_1[[#This Row],[moneda]]="pesos"),Tabla3_1[[#This Row],[Valor]]*VLOOKUP(Tabla3_1[[#This Row],[añpo]],ipc!$A:$D,4,FALSE),Tabla3_1[[#This Row],[Valor]])</f>
        <v/>
      </c>
    </row>
    <row r="882">
      <c r="A882" t="n">
        <v>2023</v>
      </c>
      <c r="B882" t="inlineStr">
        <is>
          <t>dólares</t>
        </is>
      </c>
      <c r="C882" t="inlineStr">
        <is>
          <t>Acuerdo OSPLAD</t>
        </is>
      </c>
      <c r="E882">
        <f>IF(OR(Tabla3_1[[#This Row],[moneda]]="Total en ARS",Tabla3_1[[#This Row],[moneda]]="pesos"),Tabla3_1[[#This Row],[Valor]]*VLOOKUP(Tabla3_1[[#This Row],[añpo]],ipc!$A:$D,4,FALSE),Tabla3_1[[#This Row],[Valor]])</f>
        <v/>
      </c>
    </row>
    <row r="883">
      <c r="A883" t="n">
        <v>2023</v>
      </c>
      <c r="B883" t="inlineStr">
        <is>
          <t>dólares</t>
        </is>
      </c>
      <c r="C883" t="inlineStr">
        <is>
          <t>Préstamo ANSES - Ley 5603</t>
        </is>
      </c>
      <c r="E883">
        <f>IF(OR(Tabla3_1[[#This Row],[moneda]]="Total en ARS",Tabla3_1[[#This Row],[moneda]]="pesos"),Tabla3_1[[#This Row],[Valor]]*VLOOKUP(Tabla3_1[[#This Row],[añpo]],ipc!$A:$D,4,FALSE),Tabla3_1[[#This Row],[Valor]])</f>
        <v/>
      </c>
    </row>
    <row r="884">
      <c r="A884" t="n">
        <v>2023</v>
      </c>
      <c r="B884" t="inlineStr">
        <is>
          <t xml:space="preserve">  euros</t>
        </is>
      </c>
      <c r="C884" t="inlineStr">
        <is>
          <t>Proveedores y Contratistas</t>
        </is>
      </c>
      <c r="E884">
        <f>IF(OR(Tabla3_1[[#This Row],[moneda]]="Total en ARS",Tabla3_1[[#This Row],[moneda]]="pesos"),Tabla3_1[[#This Row],[Valor]]*VLOOKUP(Tabla3_1[[#This Row],[añpo]],ipc!$A:$D,4,FALSE),Tabla3_1[[#This Row],[Valor]])</f>
        <v/>
      </c>
    </row>
    <row r="885">
      <c r="A885" t="n">
        <v>2023</v>
      </c>
      <c r="B885" t="inlineStr">
        <is>
          <t xml:space="preserve">  euros</t>
        </is>
      </c>
      <c r="C885" t="inlineStr">
        <is>
          <t>Deuda previsional</t>
        </is>
      </c>
      <c r="E885">
        <f>IF(OR(Tabla3_1[[#This Row],[moneda]]="Total en ARS",Tabla3_1[[#This Row],[moneda]]="pesos"),Tabla3_1[[#This Row],[Valor]]*VLOOKUP(Tabla3_1[[#This Row],[añpo]],ipc!$A:$D,4,FALSE),Tabla3_1[[#This Row],[Valor]])</f>
        <v/>
      </c>
    </row>
    <row r="886">
      <c r="A886" t="n">
        <v>2023</v>
      </c>
      <c r="B886" t="inlineStr">
        <is>
          <t xml:space="preserve">  euros</t>
        </is>
      </c>
      <c r="C886" t="inlineStr">
        <is>
          <t>Títulos públicos</t>
        </is>
      </c>
      <c r="E886">
        <f>IF(OR(Tabla3_1[[#This Row],[moneda]]="Total en ARS",Tabla3_1[[#This Row],[moneda]]="pesos"),Tabla3_1[[#This Row],[Valor]]*VLOOKUP(Tabla3_1[[#This Row],[añpo]],ipc!$A:$D,4,FALSE),Tabla3_1[[#This Row],[Valor]])</f>
        <v/>
      </c>
    </row>
    <row r="887">
      <c r="A887" t="n">
        <v>2023</v>
      </c>
      <c r="B887" t="inlineStr">
        <is>
          <t xml:space="preserve">  euros</t>
        </is>
      </c>
      <c r="C887" t="inlineStr">
        <is>
          <t>Letras del Tesoro Ley 3395 art. 2</t>
        </is>
      </c>
      <c r="E887">
        <f>IF(OR(Tabla3_1[[#This Row],[moneda]]="Total en ARS",Tabla3_1[[#This Row],[moneda]]="pesos"),Tabla3_1[[#This Row],[Valor]]*VLOOKUP(Tabla3_1[[#This Row],[añpo]],ipc!$A:$D,4,FALSE),Tabla3_1[[#This Row],[Valor]])</f>
        <v/>
      </c>
    </row>
    <row r="888">
      <c r="A888" t="n">
        <v>2023</v>
      </c>
      <c r="B888" t="inlineStr">
        <is>
          <t xml:space="preserve">  euros</t>
        </is>
      </c>
      <c r="C888" t="inlineStr">
        <is>
          <t xml:space="preserve">Deuda financiera </t>
        </is>
      </c>
      <c r="E888">
        <f>IF(OR(Tabla3_1[[#This Row],[moneda]]="Total en ARS",Tabla3_1[[#This Row],[moneda]]="pesos"),Tabla3_1[[#This Row],[Valor]]*VLOOKUP(Tabla3_1[[#This Row],[añpo]],ipc!$A:$D,4,FALSE),Tabla3_1[[#This Row],[Valor]])</f>
        <v/>
      </c>
    </row>
    <row r="889">
      <c r="A889" t="n">
        <v>2023</v>
      </c>
      <c r="B889" t="inlineStr">
        <is>
          <t xml:space="preserve">  euros</t>
        </is>
      </c>
      <c r="C889" t="inlineStr">
        <is>
          <t>Organismos internacionales de crédito</t>
        </is>
      </c>
      <c r="E889">
        <f>IF(OR(Tabla3_1[[#This Row],[moneda]]="Total en ARS",Tabla3_1[[#This Row],[moneda]]="pesos"),Tabla3_1[[#This Row],[Valor]]*VLOOKUP(Tabla3_1[[#This Row],[añpo]],ipc!$A:$D,4,FALSE),Tabla3_1[[#This Row],[Valor]])</f>
        <v/>
      </c>
    </row>
    <row r="890">
      <c r="A890" t="n">
        <v>2023</v>
      </c>
      <c r="B890" t="inlineStr">
        <is>
          <t xml:space="preserve">  euros</t>
        </is>
      </c>
      <c r="C890" t="inlineStr">
        <is>
          <t>Garantías y/o avales</t>
        </is>
      </c>
      <c r="E890">
        <f>IF(OR(Tabla3_1[[#This Row],[moneda]]="Total en ARS",Tabla3_1[[#This Row],[moneda]]="pesos"),Tabla3_1[[#This Row],[Valor]]*VLOOKUP(Tabla3_1[[#This Row],[añpo]],ipc!$A:$D,4,FALSE),Tabla3_1[[#This Row],[Valor]])</f>
        <v/>
      </c>
    </row>
    <row r="891">
      <c r="A891" t="n">
        <v>2023</v>
      </c>
      <c r="B891" t="inlineStr">
        <is>
          <t xml:space="preserve">  euros</t>
        </is>
      </c>
      <c r="C891" t="inlineStr">
        <is>
          <t>Acuerdo OSPLAD</t>
        </is>
      </c>
      <c r="E891">
        <f>IF(OR(Tabla3_1[[#This Row],[moneda]]="Total en ARS",Tabla3_1[[#This Row],[moneda]]="pesos"),Tabla3_1[[#This Row],[Valor]]*VLOOKUP(Tabla3_1[[#This Row],[añpo]],ipc!$A:$D,4,FALSE),Tabla3_1[[#This Row],[Valor]])</f>
        <v/>
      </c>
    </row>
    <row r="892">
      <c r="A892" t="n">
        <v>2023</v>
      </c>
      <c r="B892" t="inlineStr">
        <is>
          <t xml:space="preserve">  euros</t>
        </is>
      </c>
      <c r="C892" t="inlineStr">
        <is>
          <t>Préstamo ANSES - Ley 5603</t>
        </is>
      </c>
      <c r="E892">
        <f>IF(OR(Tabla3_1[[#This Row],[moneda]]="Total en ARS",Tabla3_1[[#This Row],[moneda]]="pesos"),Tabla3_1[[#This Row],[Valor]]*VLOOKUP(Tabla3_1[[#This Row],[añpo]],ipc!$A:$D,4,FALSE),Tabla3_1[[#This Row],[Valor]])</f>
        <v/>
      </c>
    </row>
    <row r="893">
      <c r="A893" t="n">
        <v>2023</v>
      </c>
      <c r="B893" t="inlineStr">
        <is>
          <t>UVAs</t>
        </is>
      </c>
      <c r="C893" t="inlineStr">
        <is>
          <t>Proveedores y Contratistas</t>
        </is>
      </c>
      <c r="E893">
        <f>IF(OR(Tabla3_1[[#This Row],[moneda]]="Total en ARS",Tabla3_1[[#This Row],[moneda]]="pesos"),Tabla3_1[[#This Row],[Valor]]*VLOOKUP(Tabla3_1[[#This Row],[añpo]],ipc!$A:$D,4,FALSE),Tabla3_1[[#This Row],[Valor]])</f>
        <v/>
      </c>
    </row>
    <row r="894">
      <c r="A894" t="n">
        <v>2023</v>
      </c>
      <c r="B894" t="inlineStr">
        <is>
          <t>UVAs</t>
        </is>
      </c>
      <c r="C894" t="inlineStr">
        <is>
          <t>Deuda previsional</t>
        </is>
      </c>
      <c r="E894">
        <f>IF(OR(Tabla3_1[[#This Row],[moneda]]="Total en ARS",Tabla3_1[[#This Row],[moneda]]="pesos"),Tabla3_1[[#This Row],[Valor]]*VLOOKUP(Tabla3_1[[#This Row],[añpo]],ipc!$A:$D,4,FALSE),Tabla3_1[[#This Row],[Valor]])</f>
        <v/>
      </c>
    </row>
    <row r="895">
      <c r="A895" t="n">
        <v>2023</v>
      </c>
      <c r="B895" t="inlineStr">
        <is>
          <t>UVAs</t>
        </is>
      </c>
      <c r="C895" t="inlineStr">
        <is>
          <t>Títulos públicos</t>
        </is>
      </c>
      <c r="E895">
        <f>IF(OR(Tabla3_1[[#This Row],[moneda]]="Total en ARS",Tabla3_1[[#This Row],[moneda]]="pesos"),Tabla3_1[[#This Row],[Valor]]*VLOOKUP(Tabla3_1[[#This Row],[añpo]],ipc!$A:$D,4,FALSE),Tabla3_1[[#This Row],[Valor]])</f>
        <v/>
      </c>
    </row>
    <row r="896">
      <c r="A896" t="n">
        <v>2023</v>
      </c>
      <c r="B896" t="inlineStr">
        <is>
          <t>UVAs</t>
        </is>
      </c>
      <c r="C896" t="inlineStr">
        <is>
          <t>Letras del Tesoro Ley 3395 art. 2</t>
        </is>
      </c>
      <c r="E896">
        <f>IF(OR(Tabla3_1[[#This Row],[moneda]]="Total en ARS",Tabla3_1[[#This Row],[moneda]]="pesos"),Tabla3_1[[#This Row],[Valor]]*VLOOKUP(Tabla3_1[[#This Row],[añpo]],ipc!$A:$D,4,FALSE),Tabla3_1[[#This Row],[Valor]])</f>
        <v/>
      </c>
    </row>
    <row r="897">
      <c r="A897" t="n">
        <v>2023</v>
      </c>
      <c r="B897" t="inlineStr">
        <is>
          <t>UVAs</t>
        </is>
      </c>
      <c r="C897" t="inlineStr">
        <is>
          <t xml:space="preserve">Deuda financiera </t>
        </is>
      </c>
      <c r="E897">
        <f>IF(OR(Tabla3_1[[#This Row],[moneda]]="Total en ARS",Tabla3_1[[#This Row],[moneda]]="pesos"),Tabla3_1[[#This Row],[Valor]]*VLOOKUP(Tabla3_1[[#This Row],[añpo]],ipc!$A:$D,4,FALSE),Tabla3_1[[#This Row],[Valor]])</f>
        <v/>
      </c>
    </row>
    <row r="898">
      <c r="A898" t="n">
        <v>2023</v>
      </c>
      <c r="B898" t="inlineStr">
        <is>
          <t>UVAs</t>
        </is>
      </c>
      <c r="C898" t="inlineStr">
        <is>
          <t>Organismos internacionales de crédito</t>
        </is>
      </c>
      <c r="E898">
        <f>IF(OR(Tabla3_1[[#This Row],[moneda]]="Total en ARS",Tabla3_1[[#This Row],[moneda]]="pesos"),Tabla3_1[[#This Row],[Valor]]*VLOOKUP(Tabla3_1[[#This Row],[añpo]],ipc!$A:$D,4,FALSE),Tabla3_1[[#This Row],[Valor]])</f>
        <v/>
      </c>
    </row>
    <row r="899">
      <c r="A899" t="n">
        <v>2023</v>
      </c>
      <c r="B899" t="inlineStr">
        <is>
          <t>UVAs</t>
        </is>
      </c>
      <c r="C899" t="inlineStr">
        <is>
          <t>Garantías y/o avales</t>
        </is>
      </c>
      <c r="E899">
        <f>IF(OR(Tabla3_1[[#This Row],[moneda]]="Total en ARS",Tabla3_1[[#This Row],[moneda]]="pesos"),Tabla3_1[[#This Row],[Valor]]*VLOOKUP(Tabla3_1[[#This Row],[añpo]],ipc!$A:$D,4,FALSE),Tabla3_1[[#This Row],[Valor]])</f>
        <v/>
      </c>
    </row>
    <row r="900">
      <c r="A900" t="n">
        <v>2023</v>
      </c>
      <c r="B900" t="inlineStr">
        <is>
          <t>UVAs</t>
        </is>
      </c>
      <c r="C900" t="inlineStr">
        <is>
          <t>Acuerdo OSPLAD</t>
        </is>
      </c>
      <c r="E900">
        <f>IF(OR(Tabla3_1[[#This Row],[moneda]]="Total en ARS",Tabla3_1[[#This Row],[moneda]]="pesos"),Tabla3_1[[#This Row],[Valor]]*VLOOKUP(Tabla3_1[[#This Row],[añpo]],ipc!$A:$D,4,FALSE),Tabla3_1[[#This Row],[Valor]])</f>
        <v/>
      </c>
    </row>
    <row r="901">
      <c r="A901" t="n">
        <v>2023</v>
      </c>
      <c r="B901" t="inlineStr">
        <is>
          <t>UVAs</t>
        </is>
      </c>
      <c r="C901" t="inlineStr">
        <is>
          <t>Préstamo ANSES - Ley 5603</t>
        </is>
      </c>
      <c r="E901">
        <f>IF(OR(Tabla3_1[[#This Row],[moneda]]="Total en ARS",Tabla3_1[[#This Row],[moneda]]="pesos"),Tabla3_1[[#This Row],[Valor]]*VLOOKUP(Tabla3_1[[#This Row],[añpo]],ipc!$A:$D,4,FALSE),Tabla3_1[[#This Row],[Valor]])</f>
        <v/>
      </c>
    </row>
    <row r="902">
      <c r="A902" t="n">
        <v>2024</v>
      </c>
      <c r="B902" t="inlineStr">
        <is>
          <t>Total en ARS</t>
        </is>
      </c>
      <c r="C902" t="inlineStr">
        <is>
          <t>Proveedores y Contratistas</t>
        </is>
      </c>
      <c r="D902" t="n">
        <v>1618579.4</v>
      </c>
      <c r="E902">
        <f>IF(OR(Tabla3_1[[#This Row],[moneda]]="Total en ARS",Tabla3_1[[#This Row],[moneda]]="pesos"),Tabla3_1[[#This Row],[Valor]]*VLOOKUP(Tabla3_1[[#This Row],[añpo]],ipc!$A:$D,4,FALSE),Tabla3_1[[#This Row],[Valor]])</f>
        <v/>
      </c>
    </row>
    <row r="903">
      <c r="A903" t="n">
        <v>2024</v>
      </c>
      <c r="B903" t="inlineStr">
        <is>
          <t>Total en ARS</t>
        </is>
      </c>
      <c r="C903" t="inlineStr">
        <is>
          <t>Deuda previsional</t>
        </is>
      </c>
      <c r="E903">
        <f>IF(OR(Tabla3_1[[#This Row],[moneda]]="Total en ARS",Tabla3_1[[#This Row],[moneda]]="pesos"),Tabla3_1[[#This Row],[Valor]]*VLOOKUP(Tabla3_1[[#This Row],[añpo]],ipc!$A:$D,4,FALSE),Tabla3_1[[#This Row],[Valor]])</f>
        <v/>
      </c>
    </row>
    <row r="904">
      <c r="A904" t="n">
        <v>2024</v>
      </c>
      <c r="B904" t="inlineStr">
        <is>
          <t>Total en ARS</t>
        </is>
      </c>
      <c r="C904" t="inlineStr">
        <is>
          <t>Títulos públicos</t>
        </is>
      </c>
      <c r="E904">
        <f>IF(OR(Tabla3_1[[#This Row],[moneda]]="Total en ARS",Tabla3_1[[#This Row],[moneda]]="pesos"),Tabla3_1[[#This Row],[Valor]]*VLOOKUP(Tabla3_1[[#This Row],[añpo]],ipc!$A:$D,4,FALSE),Tabla3_1[[#This Row],[Valor]])</f>
        <v/>
      </c>
    </row>
    <row r="905">
      <c r="A905" t="n">
        <v>2024</v>
      </c>
      <c r="B905" t="inlineStr">
        <is>
          <t>Total en ARS</t>
        </is>
      </c>
      <c r="C905" t="inlineStr">
        <is>
          <t>Letras del Tesoro Ley 3395 art. 2</t>
        </is>
      </c>
      <c r="E905">
        <f>IF(OR(Tabla3_1[[#This Row],[moneda]]="Total en ARS",Tabla3_1[[#This Row],[moneda]]="pesos"),Tabla3_1[[#This Row],[Valor]]*VLOOKUP(Tabla3_1[[#This Row],[añpo]],ipc!$A:$D,4,FALSE),Tabla3_1[[#This Row],[Valor]])</f>
        <v/>
      </c>
    </row>
    <row r="906">
      <c r="A906" t="n">
        <v>2024</v>
      </c>
      <c r="B906" t="inlineStr">
        <is>
          <t>Total en ARS</t>
        </is>
      </c>
      <c r="C906" t="inlineStr">
        <is>
          <t xml:space="preserve">Deuda financiera </t>
        </is>
      </c>
      <c r="E906">
        <f>IF(OR(Tabla3_1[[#This Row],[moneda]]="Total en ARS",Tabla3_1[[#This Row],[moneda]]="pesos"),Tabla3_1[[#This Row],[Valor]]*VLOOKUP(Tabla3_1[[#This Row],[añpo]],ipc!$A:$D,4,FALSE),Tabla3_1[[#This Row],[Valor]])</f>
        <v/>
      </c>
    </row>
    <row r="907">
      <c r="A907" t="n">
        <v>2024</v>
      </c>
      <c r="B907" t="inlineStr">
        <is>
          <t>Total en ARS</t>
        </is>
      </c>
      <c r="C907" t="inlineStr">
        <is>
          <t>Organismos internacionales de crédito</t>
        </is>
      </c>
      <c r="D907" t="n">
        <v>646170.1</v>
      </c>
      <c r="E907">
        <f>IF(OR(Tabla3_1[[#This Row],[moneda]]="Total en ARS",Tabla3_1[[#This Row],[moneda]]="pesos"),Tabla3_1[[#This Row],[Valor]]*VLOOKUP(Tabla3_1[[#This Row],[añpo]],ipc!$A:$D,4,FALSE),Tabla3_1[[#This Row],[Valor]])</f>
        <v/>
      </c>
    </row>
    <row r="908">
      <c r="A908" t="n">
        <v>2024</v>
      </c>
      <c r="B908" t="inlineStr">
        <is>
          <t>Total en ARS</t>
        </is>
      </c>
      <c r="C908" t="inlineStr">
        <is>
          <t>Garantías y/o avales</t>
        </is>
      </c>
      <c r="E908">
        <f>IF(OR(Tabla3_1[[#This Row],[moneda]]="Total en ARS",Tabla3_1[[#This Row],[moneda]]="pesos"),Tabla3_1[[#This Row],[Valor]]*VLOOKUP(Tabla3_1[[#This Row],[añpo]],ipc!$A:$D,4,FALSE),Tabla3_1[[#This Row],[Valor]])</f>
        <v/>
      </c>
    </row>
    <row r="909">
      <c r="A909" t="n">
        <v>2024</v>
      </c>
      <c r="B909" t="inlineStr">
        <is>
          <t>Total en ARS</t>
        </is>
      </c>
      <c r="C909" t="inlineStr">
        <is>
          <t>Acuerdo OSPLAD</t>
        </is>
      </c>
      <c r="E909">
        <f>IF(OR(Tabla3_1[[#This Row],[moneda]]="Total en ARS",Tabla3_1[[#This Row],[moneda]]="pesos"),Tabla3_1[[#This Row],[Valor]]*VLOOKUP(Tabla3_1[[#This Row],[añpo]],ipc!$A:$D,4,FALSE),Tabla3_1[[#This Row],[Valor]])</f>
        <v/>
      </c>
    </row>
    <row r="910">
      <c r="A910" t="n">
        <v>2024</v>
      </c>
      <c r="B910" t="inlineStr">
        <is>
          <t>Total en ARS</t>
        </is>
      </c>
      <c r="C910" t="inlineStr">
        <is>
          <t>Préstamo ANSES - Ley 5603</t>
        </is>
      </c>
      <c r="E910">
        <f>IF(OR(Tabla3_1[[#This Row],[moneda]]="Total en ARS",Tabla3_1[[#This Row],[moneda]]="pesos"),Tabla3_1[[#This Row],[Valor]]*VLOOKUP(Tabla3_1[[#This Row],[añpo]],ipc!$A:$D,4,FALSE),Tabla3_1[[#This Row],[Valor]])</f>
        <v/>
      </c>
    </row>
    <row r="911">
      <c r="A911" t="n">
        <v>2024</v>
      </c>
      <c r="B911" t="inlineStr">
        <is>
          <t>pesos</t>
        </is>
      </c>
      <c r="C911" t="inlineStr">
        <is>
          <t>Proveedores y Contratistas</t>
        </is>
      </c>
      <c r="D911" t="n">
        <v>36007.10000000001</v>
      </c>
      <c r="E911">
        <f>IF(OR(Tabla3_1[[#This Row],[moneda]]="Total en ARS",Tabla3_1[[#This Row],[moneda]]="pesos"),Tabla3_1[[#This Row],[Valor]]*VLOOKUP(Tabla3_1[[#This Row],[añpo]],ipc!$A:$D,4,FALSE),Tabla3_1[[#This Row],[Valor]])</f>
        <v/>
      </c>
    </row>
    <row r="912">
      <c r="A912" t="n">
        <v>2024</v>
      </c>
      <c r="B912" t="inlineStr">
        <is>
          <t>pesos</t>
        </is>
      </c>
      <c r="C912" t="inlineStr">
        <is>
          <t>Deuda previsional</t>
        </is>
      </c>
      <c r="E912">
        <f>IF(OR(Tabla3_1[[#This Row],[moneda]]="Total en ARS",Tabla3_1[[#This Row],[moneda]]="pesos"),Tabla3_1[[#This Row],[Valor]]*VLOOKUP(Tabla3_1[[#This Row],[añpo]],ipc!$A:$D,4,FALSE),Tabla3_1[[#This Row],[Valor]])</f>
        <v/>
      </c>
    </row>
    <row r="913">
      <c r="A913" t="n">
        <v>2024</v>
      </c>
      <c r="B913" t="inlineStr">
        <is>
          <t>pesos</t>
        </is>
      </c>
      <c r="C913" t="inlineStr">
        <is>
          <t>Títulos públicos</t>
        </is>
      </c>
      <c r="E913">
        <f>IF(OR(Tabla3_1[[#This Row],[moneda]]="Total en ARS",Tabla3_1[[#This Row],[moneda]]="pesos"),Tabla3_1[[#This Row],[Valor]]*VLOOKUP(Tabla3_1[[#This Row],[añpo]],ipc!$A:$D,4,FALSE),Tabla3_1[[#This Row],[Valor]])</f>
        <v/>
      </c>
    </row>
    <row r="914">
      <c r="A914" t="n">
        <v>2024</v>
      </c>
      <c r="B914" t="inlineStr">
        <is>
          <t>pesos</t>
        </is>
      </c>
      <c r="C914" t="inlineStr">
        <is>
          <t>Letras del Tesoro Ley 3395 art. 2</t>
        </is>
      </c>
      <c r="E914">
        <f>IF(OR(Tabla3_1[[#This Row],[moneda]]="Total en ARS",Tabla3_1[[#This Row],[moneda]]="pesos"),Tabla3_1[[#This Row],[Valor]]*VLOOKUP(Tabla3_1[[#This Row],[añpo]],ipc!$A:$D,4,FALSE),Tabla3_1[[#This Row],[Valor]])</f>
        <v/>
      </c>
    </row>
    <row r="915">
      <c r="A915" t="n">
        <v>2024</v>
      </c>
      <c r="B915" t="inlineStr">
        <is>
          <t>pesos</t>
        </is>
      </c>
      <c r="C915" t="inlineStr">
        <is>
          <t xml:space="preserve">Deuda financiera </t>
        </is>
      </c>
      <c r="E915">
        <f>IF(OR(Tabla3_1[[#This Row],[moneda]]="Total en ARS",Tabla3_1[[#This Row],[moneda]]="pesos"),Tabla3_1[[#This Row],[Valor]]*VLOOKUP(Tabla3_1[[#This Row],[añpo]],ipc!$A:$D,4,FALSE),Tabla3_1[[#This Row],[Valor]])</f>
        <v/>
      </c>
    </row>
    <row r="916">
      <c r="A916" t="n">
        <v>2024</v>
      </c>
      <c r="B916" t="inlineStr">
        <is>
          <t>pesos</t>
        </is>
      </c>
      <c r="C916" t="inlineStr">
        <is>
          <t>Organismos internacionales de crédito</t>
        </is>
      </c>
      <c r="D916" t="n">
        <v>322.8</v>
      </c>
      <c r="E916">
        <f>IF(OR(Tabla3_1[[#This Row],[moneda]]="Total en ARS",Tabla3_1[[#This Row],[moneda]]="pesos"),Tabla3_1[[#This Row],[Valor]]*VLOOKUP(Tabla3_1[[#This Row],[añpo]],ipc!$A:$D,4,FALSE),Tabla3_1[[#This Row],[Valor]])</f>
        <v/>
      </c>
    </row>
    <row r="917">
      <c r="A917" t="n">
        <v>2024</v>
      </c>
      <c r="B917" t="inlineStr">
        <is>
          <t>pesos</t>
        </is>
      </c>
      <c r="C917" t="inlineStr">
        <is>
          <t>Garantías y/o avales</t>
        </is>
      </c>
      <c r="E917">
        <f>IF(OR(Tabla3_1[[#This Row],[moneda]]="Total en ARS",Tabla3_1[[#This Row],[moneda]]="pesos"),Tabla3_1[[#This Row],[Valor]]*VLOOKUP(Tabla3_1[[#This Row],[añpo]],ipc!$A:$D,4,FALSE),Tabla3_1[[#This Row],[Valor]])</f>
        <v/>
      </c>
    </row>
    <row r="918">
      <c r="A918" t="n">
        <v>2024</v>
      </c>
      <c r="B918" t="inlineStr">
        <is>
          <t>pesos</t>
        </is>
      </c>
      <c r="C918" t="inlineStr">
        <is>
          <t>Acuerdo OSPLAD</t>
        </is>
      </c>
      <c r="E918">
        <f>IF(OR(Tabla3_1[[#This Row],[moneda]]="Total en ARS",Tabla3_1[[#This Row],[moneda]]="pesos"),Tabla3_1[[#This Row],[Valor]]*VLOOKUP(Tabla3_1[[#This Row],[añpo]],ipc!$A:$D,4,FALSE),Tabla3_1[[#This Row],[Valor]])</f>
        <v/>
      </c>
    </row>
    <row r="919">
      <c r="A919" t="n">
        <v>2024</v>
      </c>
      <c r="B919" t="inlineStr">
        <is>
          <t>pesos</t>
        </is>
      </c>
      <c r="C919" t="inlineStr">
        <is>
          <t>Préstamo ANSES - Ley 5603</t>
        </is>
      </c>
      <c r="E919">
        <f>IF(OR(Tabla3_1[[#This Row],[moneda]]="Total en ARS",Tabla3_1[[#This Row],[moneda]]="pesos"),Tabla3_1[[#This Row],[Valor]]*VLOOKUP(Tabla3_1[[#This Row],[añpo]],ipc!$A:$D,4,FALSE),Tabla3_1[[#This Row],[Valor]])</f>
        <v/>
      </c>
    </row>
    <row r="920">
      <c r="A920" t="n">
        <v>2024</v>
      </c>
      <c r="B920" t="inlineStr">
        <is>
          <t>dólares</t>
        </is>
      </c>
      <c r="C920" t="inlineStr">
        <is>
          <t>Proveedores y Contratistas</t>
        </is>
      </c>
      <c r="D920" t="n">
        <v>1503.6</v>
      </c>
      <c r="E920">
        <f>IF(OR(Tabla3_1[[#This Row],[moneda]]="Total en ARS",Tabla3_1[[#This Row],[moneda]]="pesos"),Tabla3_1[[#This Row],[Valor]]*VLOOKUP(Tabla3_1[[#This Row],[añpo]],ipc!$A:$D,4,FALSE),Tabla3_1[[#This Row],[Valor]])</f>
        <v/>
      </c>
    </row>
    <row r="921">
      <c r="A921" t="n">
        <v>2024</v>
      </c>
      <c r="B921" t="inlineStr">
        <is>
          <t>dólares</t>
        </is>
      </c>
      <c r="C921" t="inlineStr">
        <is>
          <t>Deuda previsional</t>
        </is>
      </c>
      <c r="E921">
        <f>IF(OR(Tabla3_1[[#This Row],[moneda]]="Total en ARS",Tabla3_1[[#This Row],[moneda]]="pesos"),Tabla3_1[[#This Row],[Valor]]*VLOOKUP(Tabla3_1[[#This Row],[añpo]],ipc!$A:$D,4,FALSE),Tabla3_1[[#This Row],[Valor]])</f>
        <v/>
      </c>
    </row>
    <row r="922">
      <c r="A922" t="n">
        <v>2024</v>
      </c>
      <c r="B922" t="inlineStr">
        <is>
          <t>dólares</t>
        </is>
      </c>
      <c r="C922" t="inlineStr">
        <is>
          <t>Títulos públicos</t>
        </is>
      </c>
      <c r="E922">
        <f>IF(OR(Tabla3_1[[#This Row],[moneda]]="Total en ARS",Tabla3_1[[#This Row],[moneda]]="pesos"),Tabla3_1[[#This Row],[Valor]]*VLOOKUP(Tabla3_1[[#This Row],[añpo]],ipc!$A:$D,4,FALSE),Tabla3_1[[#This Row],[Valor]])</f>
        <v/>
      </c>
    </row>
    <row r="923">
      <c r="A923" t="n">
        <v>2024</v>
      </c>
      <c r="B923" t="inlineStr">
        <is>
          <t>dólares</t>
        </is>
      </c>
      <c r="C923" t="inlineStr">
        <is>
          <t>Letras del Tesoro Ley 3395 art. 2</t>
        </is>
      </c>
      <c r="E923">
        <f>IF(OR(Tabla3_1[[#This Row],[moneda]]="Total en ARS",Tabla3_1[[#This Row],[moneda]]="pesos"),Tabla3_1[[#This Row],[Valor]]*VLOOKUP(Tabla3_1[[#This Row],[añpo]],ipc!$A:$D,4,FALSE),Tabla3_1[[#This Row],[Valor]])</f>
        <v/>
      </c>
    </row>
    <row r="924">
      <c r="A924" t="n">
        <v>2024</v>
      </c>
      <c r="B924" t="inlineStr">
        <is>
          <t>dólares</t>
        </is>
      </c>
      <c r="C924" t="inlineStr">
        <is>
          <t xml:space="preserve">Deuda financiera </t>
        </is>
      </c>
      <c r="E924">
        <f>IF(OR(Tabla3_1[[#This Row],[moneda]]="Total en ARS",Tabla3_1[[#This Row],[moneda]]="pesos"),Tabla3_1[[#This Row],[Valor]]*VLOOKUP(Tabla3_1[[#This Row],[añpo]],ipc!$A:$D,4,FALSE),Tabla3_1[[#This Row],[Valor]])</f>
        <v/>
      </c>
    </row>
    <row r="925">
      <c r="A925" t="n">
        <v>2024</v>
      </c>
      <c r="B925" t="inlineStr">
        <is>
          <t>dólares</t>
        </is>
      </c>
      <c r="C925" t="inlineStr">
        <is>
          <t>Organismos internacionales de crédito</t>
        </is>
      </c>
      <c r="D925" t="n">
        <v>613.6</v>
      </c>
      <c r="E925">
        <f>IF(OR(Tabla3_1[[#This Row],[moneda]]="Total en ARS",Tabla3_1[[#This Row],[moneda]]="pesos"),Tabla3_1[[#This Row],[Valor]]*VLOOKUP(Tabla3_1[[#This Row],[añpo]],ipc!$A:$D,4,FALSE),Tabla3_1[[#This Row],[Valor]])</f>
        <v/>
      </c>
    </row>
    <row r="926">
      <c r="A926" t="n">
        <v>2024</v>
      </c>
      <c r="B926" t="inlineStr">
        <is>
          <t>dólares</t>
        </is>
      </c>
      <c r="C926" t="inlineStr">
        <is>
          <t>Garantías y/o avales</t>
        </is>
      </c>
      <c r="E926">
        <f>IF(OR(Tabla3_1[[#This Row],[moneda]]="Total en ARS",Tabla3_1[[#This Row],[moneda]]="pesos"),Tabla3_1[[#This Row],[Valor]]*VLOOKUP(Tabla3_1[[#This Row],[añpo]],ipc!$A:$D,4,FALSE),Tabla3_1[[#This Row],[Valor]])</f>
        <v/>
      </c>
    </row>
    <row r="927">
      <c r="A927" t="n">
        <v>2024</v>
      </c>
      <c r="B927" t="inlineStr">
        <is>
          <t>dólares</t>
        </is>
      </c>
      <c r="C927" t="inlineStr">
        <is>
          <t>Acuerdo OSPLAD</t>
        </is>
      </c>
      <c r="E927">
        <f>IF(OR(Tabla3_1[[#This Row],[moneda]]="Total en ARS",Tabla3_1[[#This Row],[moneda]]="pesos"),Tabla3_1[[#This Row],[Valor]]*VLOOKUP(Tabla3_1[[#This Row],[añpo]],ipc!$A:$D,4,FALSE),Tabla3_1[[#This Row],[Valor]])</f>
        <v/>
      </c>
    </row>
    <row r="928">
      <c r="A928" t="n">
        <v>2024</v>
      </c>
      <c r="B928" t="inlineStr">
        <is>
          <t>dólares</t>
        </is>
      </c>
      <c r="C928" t="inlineStr">
        <is>
          <t>Préstamo ANSES - Ley 5603</t>
        </is>
      </c>
      <c r="E928">
        <f>IF(OR(Tabla3_1[[#This Row],[moneda]]="Total en ARS",Tabla3_1[[#This Row],[moneda]]="pesos"),Tabla3_1[[#This Row],[Valor]]*VLOOKUP(Tabla3_1[[#This Row],[añpo]],ipc!$A:$D,4,FALSE),Tabla3_1[[#This Row],[Valor]])</f>
        <v/>
      </c>
    </row>
    <row r="929">
      <c r="A929" t="n">
        <v>2024</v>
      </c>
      <c r="B929" t="inlineStr">
        <is>
          <t xml:space="preserve">  euros</t>
        </is>
      </c>
      <c r="C929" t="inlineStr">
        <is>
          <t>Proveedores y Contratistas</t>
        </is>
      </c>
      <c r="E929">
        <f>IF(OR(Tabla3_1[[#This Row],[moneda]]="Total en ARS",Tabla3_1[[#This Row],[moneda]]="pesos"),Tabla3_1[[#This Row],[Valor]]*VLOOKUP(Tabla3_1[[#This Row],[añpo]],ipc!$A:$D,4,FALSE),Tabla3_1[[#This Row],[Valor]])</f>
        <v/>
      </c>
    </row>
    <row r="930">
      <c r="A930" t="n">
        <v>2024</v>
      </c>
      <c r="B930" t="inlineStr">
        <is>
          <t xml:space="preserve">  euros</t>
        </is>
      </c>
      <c r="C930" t="inlineStr">
        <is>
          <t>Deuda previsional</t>
        </is>
      </c>
      <c r="E930">
        <f>IF(OR(Tabla3_1[[#This Row],[moneda]]="Total en ARS",Tabla3_1[[#This Row],[moneda]]="pesos"),Tabla3_1[[#This Row],[Valor]]*VLOOKUP(Tabla3_1[[#This Row],[añpo]],ipc!$A:$D,4,FALSE),Tabla3_1[[#This Row],[Valor]])</f>
        <v/>
      </c>
    </row>
    <row r="931">
      <c r="A931" t="n">
        <v>2024</v>
      </c>
      <c r="B931" t="inlineStr">
        <is>
          <t xml:space="preserve">  euros</t>
        </is>
      </c>
      <c r="C931" t="inlineStr">
        <is>
          <t>Títulos públicos</t>
        </is>
      </c>
      <c r="E931">
        <f>IF(OR(Tabla3_1[[#This Row],[moneda]]="Total en ARS",Tabla3_1[[#This Row],[moneda]]="pesos"),Tabla3_1[[#This Row],[Valor]]*VLOOKUP(Tabla3_1[[#This Row],[añpo]],ipc!$A:$D,4,FALSE),Tabla3_1[[#This Row],[Valor]])</f>
        <v/>
      </c>
    </row>
    <row r="932">
      <c r="A932" t="n">
        <v>2024</v>
      </c>
      <c r="B932" t="inlineStr">
        <is>
          <t xml:space="preserve">  euros</t>
        </is>
      </c>
      <c r="C932" t="inlineStr">
        <is>
          <t>Letras del Tesoro Ley 3395 art. 2</t>
        </is>
      </c>
      <c r="E932">
        <f>IF(OR(Tabla3_1[[#This Row],[moneda]]="Total en ARS",Tabla3_1[[#This Row],[moneda]]="pesos"),Tabla3_1[[#This Row],[Valor]]*VLOOKUP(Tabla3_1[[#This Row],[añpo]],ipc!$A:$D,4,FALSE),Tabla3_1[[#This Row],[Valor]])</f>
        <v/>
      </c>
    </row>
    <row r="933">
      <c r="A933" t="n">
        <v>2024</v>
      </c>
      <c r="B933" t="inlineStr">
        <is>
          <t xml:space="preserve">  euros</t>
        </is>
      </c>
      <c r="C933" t="inlineStr">
        <is>
          <t xml:space="preserve">Deuda financiera </t>
        </is>
      </c>
      <c r="E933">
        <f>IF(OR(Tabla3_1[[#This Row],[moneda]]="Total en ARS",Tabla3_1[[#This Row],[moneda]]="pesos"),Tabla3_1[[#This Row],[Valor]]*VLOOKUP(Tabla3_1[[#This Row],[añpo]],ipc!$A:$D,4,FALSE),Tabla3_1[[#This Row],[Valor]])</f>
        <v/>
      </c>
    </row>
    <row r="934">
      <c r="A934" t="n">
        <v>2024</v>
      </c>
      <c r="B934" t="inlineStr">
        <is>
          <t xml:space="preserve">  euros</t>
        </is>
      </c>
      <c r="C934" t="inlineStr">
        <is>
          <t>Organismos internacionales de crédito</t>
        </is>
      </c>
      <c r="E934">
        <f>IF(OR(Tabla3_1[[#This Row],[moneda]]="Total en ARS",Tabla3_1[[#This Row],[moneda]]="pesos"),Tabla3_1[[#This Row],[Valor]]*VLOOKUP(Tabla3_1[[#This Row],[añpo]],ipc!$A:$D,4,FALSE),Tabla3_1[[#This Row],[Valor]])</f>
        <v/>
      </c>
    </row>
    <row r="935">
      <c r="A935" t="n">
        <v>2024</v>
      </c>
      <c r="B935" t="inlineStr">
        <is>
          <t xml:space="preserve">  euros</t>
        </is>
      </c>
      <c r="C935" t="inlineStr">
        <is>
          <t>Garantías y/o avales</t>
        </is>
      </c>
      <c r="E935">
        <f>IF(OR(Tabla3_1[[#This Row],[moneda]]="Total en ARS",Tabla3_1[[#This Row],[moneda]]="pesos"),Tabla3_1[[#This Row],[Valor]]*VLOOKUP(Tabla3_1[[#This Row],[añpo]],ipc!$A:$D,4,FALSE),Tabla3_1[[#This Row],[Valor]])</f>
        <v/>
      </c>
    </row>
    <row r="936">
      <c r="A936" t="n">
        <v>2024</v>
      </c>
      <c r="B936" t="inlineStr">
        <is>
          <t xml:space="preserve">  euros</t>
        </is>
      </c>
      <c r="C936" t="inlineStr">
        <is>
          <t>Acuerdo OSPLAD</t>
        </is>
      </c>
      <c r="E936">
        <f>IF(OR(Tabla3_1[[#This Row],[moneda]]="Total en ARS",Tabla3_1[[#This Row],[moneda]]="pesos"),Tabla3_1[[#This Row],[Valor]]*VLOOKUP(Tabla3_1[[#This Row],[añpo]],ipc!$A:$D,4,FALSE),Tabla3_1[[#This Row],[Valor]])</f>
        <v/>
      </c>
    </row>
    <row r="937">
      <c r="A937" t="n">
        <v>2024</v>
      </c>
      <c r="B937" t="inlineStr">
        <is>
          <t xml:space="preserve">  euros</t>
        </is>
      </c>
      <c r="C937" t="inlineStr">
        <is>
          <t>Préstamo ANSES - Ley 5603</t>
        </is>
      </c>
      <c r="E937">
        <f>IF(OR(Tabla3_1[[#This Row],[moneda]]="Total en ARS",Tabla3_1[[#This Row],[moneda]]="pesos"),Tabla3_1[[#This Row],[Valor]]*VLOOKUP(Tabla3_1[[#This Row],[añpo]],ipc!$A:$D,4,FALSE),Tabla3_1[[#This Row],[Valor]])</f>
        <v/>
      </c>
    </row>
    <row r="938">
      <c r="A938" t="n">
        <v>2024</v>
      </c>
      <c r="B938" t="inlineStr">
        <is>
          <t>UVAs</t>
        </is>
      </c>
      <c r="C938" t="inlineStr">
        <is>
          <t>Proveedores y Contratistas</t>
        </is>
      </c>
      <c r="E938">
        <f>IF(OR(Tabla3_1[[#This Row],[moneda]]="Total en ARS",Tabla3_1[[#This Row],[moneda]]="pesos"),Tabla3_1[[#This Row],[Valor]]*VLOOKUP(Tabla3_1[[#This Row],[añpo]],ipc!$A:$D,4,FALSE),Tabla3_1[[#This Row],[Valor]])</f>
        <v/>
      </c>
    </row>
    <row r="939">
      <c r="A939" t="n">
        <v>2024</v>
      </c>
      <c r="B939" t="inlineStr">
        <is>
          <t>UVAs</t>
        </is>
      </c>
      <c r="C939" t="inlineStr">
        <is>
          <t>Deuda previsional</t>
        </is>
      </c>
      <c r="E939">
        <f>IF(OR(Tabla3_1[[#This Row],[moneda]]="Total en ARS",Tabla3_1[[#This Row],[moneda]]="pesos"),Tabla3_1[[#This Row],[Valor]]*VLOOKUP(Tabla3_1[[#This Row],[añpo]],ipc!$A:$D,4,FALSE),Tabla3_1[[#This Row],[Valor]])</f>
        <v/>
      </c>
    </row>
    <row r="940">
      <c r="A940" t="n">
        <v>2024</v>
      </c>
      <c r="B940" t="inlineStr">
        <is>
          <t>UVAs</t>
        </is>
      </c>
      <c r="C940" t="inlineStr">
        <is>
          <t>Títulos públicos</t>
        </is>
      </c>
      <c r="E940">
        <f>IF(OR(Tabla3_1[[#This Row],[moneda]]="Total en ARS",Tabla3_1[[#This Row],[moneda]]="pesos"),Tabla3_1[[#This Row],[Valor]]*VLOOKUP(Tabla3_1[[#This Row],[añpo]],ipc!$A:$D,4,FALSE),Tabla3_1[[#This Row],[Valor]])</f>
        <v/>
      </c>
    </row>
    <row r="941">
      <c r="A941" t="n">
        <v>2024</v>
      </c>
      <c r="B941" t="inlineStr">
        <is>
          <t>UVAs</t>
        </is>
      </c>
      <c r="C941" t="inlineStr">
        <is>
          <t>Letras del Tesoro Ley 3395 art. 2</t>
        </is>
      </c>
      <c r="E941">
        <f>IF(OR(Tabla3_1[[#This Row],[moneda]]="Total en ARS",Tabla3_1[[#This Row],[moneda]]="pesos"),Tabla3_1[[#This Row],[Valor]]*VLOOKUP(Tabla3_1[[#This Row],[añpo]],ipc!$A:$D,4,FALSE),Tabla3_1[[#This Row],[Valor]])</f>
        <v/>
      </c>
    </row>
    <row r="942">
      <c r="A942" t="n">
        <v>2024</v>
      </c>
      <c r="B942" t="inlineStr">
        <is>
          <t>UVAs</t>
        </is>
      </c>
      <c r="C942" t="inlineStr">
        <is>
          <t xml:space="preserve">Deuda financiera </t>
        </is>
      </c>
      <c r="E942">
        <f>IF(OR(Tabla3_1[[#This Row],[moneda]]="Total en ARS",Tabla3_1[[#This Row],[moneda]]="pesos"),Tabla3_1[[#This Row],[Valor]]*VLOOKUP(Tabla3_1[[#This Row],[añpo]],ipc!$A:$D,4,FALSE),Tabla3_1[[#This Row],[Valor]])</f>
        <v/>
      </c>
    </row>
    <row r="943">
      <c r="A943" t="n">
        <v>2024</v>
      </c>
      <c r="B943" t="inlineStr">
        <is>
          <t>UVAs</t>
        </is>
      </c>
      <c r="C943" t="inlineStr">
        <is>
          <t>Organismos internacionales de crédito</t>
        </is>
      </c>
      <c r="E943">
        <f>IF(OR(Tabla3_1[[#This Row],[moneda]]="Total en ARS",Tabla3_1[[#This Row],[moneda]]="pesos"),Tabla3_1[[#This Row],[Valor]]*VLOOKUP(Tabla3_1[[#This Row],[añpo]],ipc!$A:$D,4,FALSE),Tabla3_1[[#This Row],[Valor]])</f>
        <v/>
      </c>
    </row>
    <row r="944">
      <c r="A944" t="n">
        <v>2024</v>
      </c>
      <c r="B944" t="inlineStr">
        <is>
          <t>UVAs</t>
        </is>
      </c>
      <c r="C944" t="inlineStr">
        <is>
          <t>Garantías y/o avales</t>
        </is>
      </c>
      <c r="E944">
        <f>IF(OR(Tabla3_1[[#This Row],[moneda]]="Total en ARS",Tabla3_1[[#This Row],[moneda]]="pesos"),Tabla3_1[[#This Row],[Valor]]*VLOOKUP(Tabla3_1[[#This Row],[añpo]],ipc!$A:$D,4,FALSE),Tabla3_1[[#This Row],[Valor]])</f>
        <v/>
      </c>
    </row>
    <row r="945">
      <c r="A945" t="n">
        <v>2024</v>
      </c>
      <c r="B945" t="inlineStr">
        <is>
          <t>UVAs</t>
        </is>
      </c>
      <c r="C945" t="inlineStr">
        <is>
          <t>Acuerdo OSPLAD</t>
        </is>
      </c>
      <c r="E945">
        <f>IF(OR(Tabla3_1[[#This Row],[moneda]]="Total en ARS",Tabla3_1[[#This Row],[moneda]]="pesos"),Tabla3_1[[#This Row],[Valor]]*VLOOKUP(Tabla3_1[[#This Row],[añpo]],ipc!$A:$D,4,FALSE),Tabla3_1[[#This Row],[Valor]])</f>
        <v/>
      </c>
    </row>
    <row r="946">
      <c r="A946" t="n">
        <v>2024</v>
      </c>
      <c r="B946" t="inlineStr">
        <is>
          <t>UVAs</t>
        </is>
      </c>
      <c r="C946" t="inlineStr">
        <is>
          <t>Préstamo ANSES - Ley 5603</t>
        </is>
      </c>
      <c r="E946">
        <f>IF(OR(Tabla3_1[[#This Row],[moneda]]="Total en ARS",Tabla3_1[[#This Row],[moneda]]="pesos"),Tabla3_1[[#This Row],[Valor]]*VLOOKUP(Tabla3_1[[#This Row],[añpo]],ipc!$A:$D,4,FALSE),Tabla3_1[[#This Row],[Valor]])</f>
        <v/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 público (millones de pesos) del Gobierno de la Ciudad de Buenos Aires por finalidad. Años 1998/2025</t>
        </is>
      </c>
    </row>
    <row r="2">
      <c r="A2" t="inlineStr">
        <is>
          <t>Finalidad</t>
        </is>
      </c>
      <c r="B2" t="n">
        <v>1998</v>
      </c>
      <c r="C2" t="n">
        <v>1999</v>
      </c>
      <c r="D2" t="n">
        <v>2000</v>
      </c>
      <c r="E2" t="n">
        <v>2001</v>
      </c>
      <c r="F2" t="n">
        <v>2002</v>
      </c>
      <c r="G2" t="n">
        <v>2003</v>
      </c>
      <c r="H2" t="n">
        <v>2004</v>
      </c>
      <c r="I2" t="n">
        <v>2005</v>
      </c>
      <c r="J2" t="n">
        <v>2006</v>
      </c>
      <c r="K2" t="n">
        <v>2007</v>
      </c>
      <c r="L2" t="n">
        <v>2008</v>
      </c>
      <c r="M2" t="n">
        <v>2009</v>
      </c>
      <c r="N2" t="n">
        <v>2010</v>
      </c>
      <c r="O2" t="n">
        <v>2011</v>
      </c>
      <c r="P2" t="n">
        <v>2012</v>
      </c>
      <c r="Q2" t="n">
        <v>2013</v>
      </c>
      <c r="R2" t="n">
        <v>2014</v>
      </c>
      <c r="S2" t="n">
        <v>2015</v>
      </c>
      <c r="T2" t="n">
        <v>2016</v>
      </c>
      <c r="U2" t="n">
        <v>2017</v>
      </c>
      <c r="V2" t="n">
        <v>2018</v>
      </c>
      <c r="W2" t="n">
        <v>2019</v>
      </c>
      <c r="X2" t="n">
        <v>2020</v>
      </c>
      <c r="Y2" t="n">
        <v>2021</v>
      </c>
      <c r="Z2" t="n">
        <v>2022</v>
      </c>
      <c r="AA2" t="n">
        <v>2023</v>
      </c>
      <c r="AB2" t="n">
        <v>2024</v>
      </c>
      <c r="AC2" t="inlineStr">
        <is>
          <t>2025*</t>
        </is>
      </c>
    </row>
    <row r="3">
      <c r="A3" t="inlineStr">
        <is>
          <t>Total</t>
        </is>
      </c>
      <c r="B3" t="n">
        <v>2856.3</v>
      </c>
      <c r="C3" t="n">
        <v>3113.8</v>
      </c>
      <c r="D3" t="n">
        <v>3148.660349</v>
      </c>
      <c r="E3" t="n">
        <v>3177.921488</v>
      </c>
      <c r="F3" t="n">
        <v>3022.845794</v>
      </c>
      <c r="G3" t="n">
        <v>3510.05108307</v>
      </c>
      <c r="H3" t="n">
        <v>4278.979145910001</v>
      </c>
      <c r="I3" t="n">
        <v>5815.69293039</v>
      </c>
      <c r="J3" t="n">
        <v>8263.14377459</v>
      </c>
      <c r="K3" t="n">
        <v>9917.592766759999</v>
      </c>
      <c r="L3" t="n">
        <v>13427.99252801</v>
      </c>
      <c r="M3" t="n">
        <v>15988.90338133</v>
      </c>
      <c r="N3" t="n">
        <v>19951.59390907</v>
      </c>
      <c r="O3" t="n">
        <v>27108.32415527</v>
      </c>
      <c r="P3" t="n">
        <v>35232.61523071</v>
      </c>
      <c r="Q3" t="n">
        <v>50898.38005956</v>
      </c>
      <c r="R3" t="n">
        <v>68869.17037128001</v>
      </c>
      <c r="S3" t="n">
        <v>85293.99498220001</v>
      </c>
      <c r="T3" t="n">
        <v>144200.78388007</v>
      </c>
      <c r="U3" t="n">
        <v>197216.99714068</v>
      </c>
      <c r="V3" t="n">
        <v>252017.58119043</v>
      </c>
      <c r="W3" t="n">
        <v>384880.02053824</v>
      </c>
      <c r="X3" t="n">
        <v>482921.1547071</v>
      </c>
      <c r="Y3" t="n">
        <v>704425.91831615</v>
      </c>
      <c r="Z3" t="n">
        <v>1210953.04025245</v>
      </c>
      <c r="AA3" t="n">
        <v>3129350.01638301</v>
      </c>
      <c r="AB3" t="n">
        <v>9229025.723148501</v>
      </c>
      <c r="AC3" t="n">
        <v>13751703.24145958</v>
      </c>
    </row>
    <row r="4">
      <c r="A4" t="inlineStr">
        <is>
          <t>Administración gubernamental</t>
        </is>
      </c>
      <c r="B4" t="n">
        <v>435.9</v>
      </c>
      <c r="C4" t="n">
        <v>489.1</v>
      </c>
      <c r="D4" t="n">
        <v>448.039119</v>
      </c>
      <c r="E4" t="n">
        <v>469.799384</v>
      </c>
      <c r="F4" t="n">
        <v>406.172254</v>
      </c>
      <c r="G4" t="n">
        <v>417.71965248</v>
      </c>
      <c r="H4" t="n">
        <v>564.31038259</v>
      </c>
      <c r="I4" t="n">
        <v>720.0723795599999</v>
      </c>
      <c r="J4" t="n">
        <v>957.0729950300001</v>
      </c>
      <c r="K4" t="n">
        <v>1138.83915593</v>
      </c>
      <c r="L4" t="n">
        <v>1561.44665751</v>
      </c>
      <c r="M4" t="n">
        <v>1934.11063663</v>
      </c>
      <c r="N4" t="n">
        <v>2583.69162271</v>
      </c>
      <c r="O4" t="n">
        <v>3603.53725729</v>
      </c>
      <c r="P4" t="n">
        <v>5008.22744531</v>
      </c>
      <c r="Q4" t="n">
        <v>6999.75074305</v>
      </c>
      <c r="R4" t="n">
        <v>9398.242265719999</v>
      </c>
      <c r="S4" t="n">
        <v>11995.61341855</v>
      </c>
      <c r="T4" t="n">
        <v>18254.79856731</v>
      </c>
      <c r="U4" t="n">
        <v>24324.25775349</v>
      </c>
      <c r="V4" t="n">
        <v>30049.59085521</v>
      </c>
      <c r="W4" t="n">
        <v>45947.00321829999</v>
      </c>
      <c r="X4" t="n">
        <v>60378.28822809</v>
      </c>
      <c r="Y4" t="n">
        <v>87782.48793625999</v>
      </c>
      <c r="Z4" t="n">
        <v>162625.03567543</v>
      </c>
      <c r="AA4" t="n">
        <v>441324.90216588</v>
      </c>
      <c r="AB4" t="n">
        <v>1289228.05361141</v>
      </c>
      <c r="AC4" t="n">
        <v>2010520.53044624</v>
      </c>
    </row>
    <row r="5">
      <c r="A5" t="inlineStr">
        <is>
          <t>Servicio de seguridad</t>
        </is>
      </c>
      <c r="B5" t="inlineStr">
        <is>
          <t>-</t>
        </is>
      </c>
      <c r="C5" t="inlineStr">
        <is>
          <t>-</t>
        </is>
      </c>
      <c r="D5" t="n">
        <v>35.333221</v>
      </c>
      <c r="E5" t="n">
        <v>39.405504</v>
      </c>
      <c r="F5" t="n">
        <v>32.152815</v>
      </c>
      <c r="G5" t="n">
        <v>34.48146309000001</v>
      </c>
      <c r="H5" t="n">
        <v>59.29759060999999</v>
      </c>
      <c r="I5" t="n">
        <v>83.30979091999998</v>
      </c>
      <c r="J5" t="n">
        <v>171.72752059</v>
      </c>
      <c r="K5" t="n">
        <v>340.52969583</v>
      </c>
      <c r="L5" t="n">
        <v>527.75959158</v>
      </c>
      <c r="M5" t="n">
        <v>574.89163609</v>
      </c>
      <c r="N5" t="n">
        <v>715.8500252599999</v>
      </c>
      <c r="O5" t="n">
        <v>1042.59655194</v>
      </c>
      <c r="P5" t="n">
        <v>1590.59419692</v>
      </c>
      <c r="Q5" t="n">
        <v>2151.12526593</v>
      </c>
      <c r="R5" t="n">
        <v>2774.72281286</v>
      </c>
      <c r="S5" t="n">
        <v>3991.070096399999</v>
      </c>
      <c r="T5" t="n">
        <v>22141.61376181</v>
      </c>
      <c r="U5" t="n">
        <v>29432.20692486</v>
      </c>
      <c r="V5" t="n">
        <v>36114.44596123001</v>
      </c>
      <c r="W5" t="n">
        <v>52681.65581394</v>
      </c>
      <c r="X5" t="n">
        <v>70792.72510664001</v>
      </c>
      <c r="Y5" t="n">
        <v>95568.31324574001</v>
      </c>
      <c r="Z5" t="n">
        <v>167700.6060953</v>
      </c>
      <c r="AA5" t="n">
        <v>446921.33256042</v>
      </c>
      <c r="AB5" t="n">
        <v>1336215.50932488</v>
      </c>
      <c r="AC5" t="n">
        <v>2160903.29120304</v>
      </c>
    </row>
    <row r="6">
      <c r="A6" t="inlineStr">
        <is>
          <t>Servicios sociales</t>
        </is>
      </c>
      <c r="B6" t="n">
        <v>1890.3</v>
      </c>
      <c r="C6" t="n">
        <v>2030.4</v>
      </c>
      <c r="D6" t="n">
        <v>2104.087838</v>
      </c>
      <c r="E6" t="n">
        <v>2109.487573</v>
      </c>
      <c r="F6" t="n">
        <v>2105.779507</v>
      </c>
      <c r="G6" t="n">
        <v>2395.36026117</v>
      </c>
      <c r="H6" t="n">
        <v>2849.79805151</v>
      </c>
      <c r="I6" t="n">
        <v>3859.73461317</v>
      </c>
      <c r="J6" t="n">
        <v>5530.335397639999</v>
      </c>
      <c r="K6" t="n">
        <v>6609.18089204</v>
      </c>
      <c r="L6" t="n">
        <v>8400.026324839999</v>
      </c>
      <c r="M6" t="n">
        <v>10691.04761973</v>
      </c>
      <c r="N6" t="n">
        <v>12728.11397494</v>
      </c>
      <c r="O6" t="n">
        <v>17817.22006649</v>
      </c>
      <c r="P6" t="n">
        <v>22548.65754395</v>
      </c>
      <c r="Q6" t="n">
        <v>29771.31102778</v>
      </c>
      <c r="R6" t="n">
        <v>40341.18559876001</v>
      </c>
      <c r="S6" t="n">
        <v>51356.68109324</v>
      </c>
      <c r="T6" t="n">
        <v>74183.16230282</v>
      </c>
      <c r="U6" t="n">
        <v>102046.35055395</v>
      </c>
      <c r="V6" t="n">
        <v>132473.54692393</v>
      </c>
      <c r="W6" t="n">
        <v>195594.19834372</v>
      </c>
      <c r="X6" t="n">
        <v>252518.71734769</v>
      </c>
      <c r="Y6" t="n">
        <v>371135.03979349</v>
      </c>
      <c r="Z6" t="n">
        <v>755110.5374318</v>
      </c>
      <c r="AA6" t="n">
        <v>1951152.47509411</v>
      </c>
      <c r="AB6" t="n">
        <v>5996399.478416019</v>
      </c>
      <c r="AC6" t="n">
        <v>8537191.963392079</v>
      </c>
    </row>
    <row r="7">
      <c r="A7" t="inlineStr">
        <is>
          <t>Servicios económicos</t>
        </is>
      </c>
      <c r="B7" t="n">
        <v>395.1</v>
      </c>
      <c r="C7" t="n">
        <v>455.9</v>
      </c>
      <c r="D7" t="n">
        <v>458.536557</v>
      </c>
      <c r="E7" t="n">
        <v>489.825006</v>
      </c>
      <c r="F7" t="n">
        <v>420.038</v>
      </c>
      <c r="G7" t="n">
        <v>524.08342763</v>
      </c>
      <c r="H7" t="n">
        <v>677.9155701</v>
      </c>
      <c r="I7" t="n">
        <v>1014.41654314</v>
      </c>
      <c r="J7" t="n">
        <v>1418.08236053</v>
      </c>
      <c r="K7" t="n">
        <v>1700.58192525</v>
      </c>
      <c r="L7" t="n">
        <v>2799.99985854</v>
      </c>
      <c r="M7" t="n">
        <v>2538.789929499999</v>
      </c>
      <c r="N7" t="n">
        <v>3477.707563149999</v>
      </c>
      <c r="O7" t="n">
        <v>4208.91021367</v>
      </c>
      <c r="P7" t="n">
        <v>5590.755953039999</v>
      </c>
      <c r="Q7" t="n">
        <v>11173.93188209</v>
      </c>
      <c r="R7" t="n">
        <v>15033.55142683</v>
      </c>
      <c r="S7" t="n">
        <v>15893.45901348</v>
      </c>
      <c r="T7" t="n">
        <v>24750.5049138</v>
      </c>
      <c r="U7" t="n">
        <v>34570.39210597</v>
      </c>
      <c r="V7" t="n">
        <v>39046.25178506</v>
      </c>
      <c r="W7" t="n">
        <v>57200.77636474</v>
      </c>
      <c r="X7" t="n">
        <v>62631.49999988</v>
      </c>
      <c r="Y7" t="n">
        <v>97492.38205411</v>
      </c>
      <c r="Z7" t="n">
        <v>66642.40680891</v>
      </c>
      <c r="AA7" t="n">
        <v>190652.97071611</v>
      </c>
      <c r="AB7" t="n">
        <v>467131.67819935</v>
      </c>
      <c r="AC7" t="n">
        <v>930269.2024075999</v>
      </c>
    </row>
    <row r="8">
      <c r="A8" t="inlineStr">
        <is>
          <t>Deuda pública</t>
        </is>
      </c>
      <c r="B8" t="n">
        <v>101.4</v>
      </c>
      <c r="C8" t="n">
        <v>114.1</v>
      </c>
      <c r="D8" t="n">
        <v>88.735563</v>
      </c>
      <c r="E8" t="n">
        <v>69.404021</v>
      </c>
      <c r="F8" t="n">
        <v>58.703218</v>
      </c>
      <c r="G8" t="n">
        <v>138.4062787</v>
      </c>
      <c r="H8" t="n">
        <v>127.6575511</v>
      </c>
      <c r="I8" t="n">
        <v>138.1596036</v>
      </c>
      <c r="J8" t="n">
        <v>185.9255008</v>
      </c>
      <c r="K8" t="n">
        <v>128.46109771</v>
      </c>
      <c r="L8" t="n">
        <v>138.76009554</v>
      </c>
      <c r="M8" t="n">
        <v>250.06355938</v>
      </c>
      <c r="N8" t="n">
        <v>446.23072301</v>
      </c>
      <c r="O8" t="n">
        <v>436.06006588</v>
      </c>
      <c r="P8" t="n">
        <v>494.38009149</v>
      </c>
      <c r="Q8" t="n">
        <v>802.2611407099999</v>
      </c>
      <c r="R8" t="n">
        <v>1321.46826711</v>
      </c>
      <c r="S8" t="n">
        <v>2057.17136053</v>
      </c>
      <c r="T8" t="n">
        <v>4870.704334329999</v>
      </c>
      <c r="U8" t="n">
        <v>6843.78980241</v>
      </c>
      <c r="V8" t="n">
        <v>14333.745665</v>
      </c>
      <c r="W8" t="n">
        <v>33456.38679754</v>
      </c>
      <c r="X8" t="n">
        <v>36599.92402479999</v>
      </c>
      <c r="Y8" t="n">
        <v>52447.69528655</v>
      </c>
      <c r="Z8" t="n">
        <v>58874.45424101</v>
      </c>
      <c r="AA8" t="n">
        <v>99298.33584648999</v>
      </c>
      <c r="AB8" t="n">
        <v>140051.00359684</v>
      </c>
      <c r="AC8" t="n">
        <v>112818.25401062</v>
      </c>
    </row>
    <row r="9">
      <c r="A9" t="inlineStr">
        <is>
          <t>Nota: las diferencias con valores publicados anteriormente se deben a ajustes de elaboración. La suma de las cifras parciales difiere del total por procedimientos de redondeo. El dato provisorio contiene información de la Ejecución Presupuestaria.</t>
        </is>
      </c>
    </row>
    <row r="10">
      <c r="A10" t="inlineStr">
        <is>
          <t>Fuente: Instituto de Estadística y Censos de la Ciudad Autónoma de Buenos Aires (Jefatura de Gabinete de Ministros - GCBA)  sobre la base de datos del Ministerio de Hacienda y Finanzas. Dirección General Contaduría. Cuentas Anuales de Inversión.</t>
        </is>
      </c>
    </row>
    <row r="11"/>
    <row r="12"/>
    <row r="13"/>
    <row r="14"/>
    <row r="15"/>
    <row r="16"/>
    <row r="17"/>
    <row r="18"/>
    <row r="19"/>
    <row r="20"/>
    <row r="21"/>
    <row r="22"/>
    <row r="2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de  deuda del Gobierno de la Ciudad de Buenos Aires. Años 1996/2025</t>
        </is>
      </c>
    </row>
    <row r="2">
      <c r="A2" t="inlineStr">
        <is>
          <t>Tipo de deuda</t>
        </is>
      </c>
      <c r="B2" t="n">
        <v>1996</v>
      </c>
      <c r="C2" t="n">
        <v>1997</v>
      </c>
      <c r="D2" t="n">
        <v>1998</v>
      </c>
      <c r="E2" t="n">
        <v>1999</v>
      </c>
      <c r="F2" t="n">
        <v>2000</v>
      </c>
      <c r="G2" t="n">
        <v>2001</v>
      </c>
      <c r="I2" t="n">
        <v>2002</v>
      </c>
      <c r="O2" t="n">
        <v>2003</v>
      </c>
      <c r="T2" t="n">
        <v>2004</v>
      </c>
      <c r="Y2" t="n">
        <v>2005</v>
      </c>
      <c r="AD2" t="n">
        <v>2006</v>
      </c>
      <c r="AI2" t="n">
        <v>2007</v>
      </c>
      <c r="AN2" t="n">
        <v>2008</v>
      </c>
      <c r="AS2" t="n">
        <v>2009</v>
      </c>
      <c r="AX2" t="n">
        <v>2010</v>
      </c>
      <c r="BC2" t="n">
        <v>2011</v>
      </c>
      <c r="BG2" t="n">
        <v>2012</v>
      </c>
      <c r="BL2" t="n">
        <v>2013</v>
      </c>
      <c r="BR2" t="n">
        <v>2014</v>
      </c>
      <c r="BV2" t="n">
        <v>2015</v>
      </c>
      <c r="CA2" t="n">
        <v>2016</v>
      </c>
      <c r="CF2" t="n">
        <v>2017</v>
      </c>
      <c r="CK2" t="n">
        <v>2018</v>
      </c>
      <c r="CQ2" t="n">
        <v>2019</v>
      </c>
      <c r="CW2" t="n">
        <v>2020</v>
      </c>
      <c r="DC2" t="n">
        <v>2021</v>
      </c>
      <c r="DI2" t="n">
        <v>2022</v>
      </c>
      <c r="DP2" t="n">
        <v>2023</v>
      </c>
      <c r="DV2" t="n">
        <v>2024</v>
      </c>
      <c r="EB2" t="inlineStr">
        <is>
          <t>2025*</t>
        </is>
      </c>
    </row>
    <row r="3">
      <c r="B3" t="inlineStr">
        <is>
          <t>Millones de pesos</t>
        </is>
      </c>
      <c r="I3" t="inlineStr">
        <is>
          <t>Total en millones de pesos1</t>
        </is>
      </c>
      <c r="J3" t="inlineStr">
        <is>
          <t>Millones de pesos</t>
        </is>
      </c>
      <c r="K3" t="inlineStr">
        <is>
          <t>Millones de dólares</t>
        </is>
      </c>
      <c r="L3" t="inlineStr">
        <is>
          <t>Millones de euros</t>
        </is>
      </c>
      <c r="N3" t="inlineStr">
        <is>
          <t>Total en millones de pesos1</t>
        </is>
      </c>
      <c r="O3" t="inlineStr">
        <is>
          <t>Millones de pesos</t>
        </is>
      </c>
      <c r="P3" t="inlineStr">
        <is>
          <t>Millones de dólares</t>
        </is>
      </c>
      <c r="Q3" t="inlineStr">
        <is>
          <t>Millones de euros</t>
        </is>
      </c>
      <c r="S3" t="inlineStr">
        <is>
          <t>Total en millones de pesos1</t>
        </is>
      </c>
      <c r="T3" t="inlineStr">
        <is>
          <t>Millones de pesos</t>
        </is>
      </c>
      <c r="U3" t="inlineStr">
        <is>
          <t>Millones de dólares</t>
        </is>
      </c>
      <c r="V3" t="inlineStr">
        <is>
          <t>Millones de euros</t>
        </is>
      </c>
      <c r="X3" t="inlineStr">
        <is>
          <t>Total en millones de pesos1</t>
        </is>
      </c>
      <c r="Y3" t="inlineStr">
        <is>
          <t>Millones de pesos</t>
        </is>
      </c>
      <c r="Z3" t="inlineStr">
        <is>
          <t>Millones de dólares</t>
        </is>
      </c>
      <c r="AA3" t="inlineStr">
        <is>
          <t>Millones de euros</t>
        </is>
      </c>
      <c r="AC3" t="inlineStr">
        <is>
          <t>Total en millones de pesos1</t>
        </is>
      </c>
      <c r="AD3" t="inlineStr">
        <is>
          <t>Millones de pesos</t>
        </is>
      </c>
      <c r="AE3" t="inlineStr">
        <is>
          <t>Millones de dólares</t>
        </is>
      </c>
      <c r="AF3" t="inlineStr">
        <is>
          <t>Millones de euros</t>
        </is>
      </c>
      <c r="AH3" t="inlineStr">
        <is>
          <t>Total en millones de pesos1</t>
        </is>
      </c>
      <c r="AI3" t="inlineStr">
        <is>
          <t>Millones de pesos</t>
        </is>
      </c>
      <c r="AJ3" t="inlineStr">
        <is>
          <t>Millones de dólares</t>
        </is>
      </c>
      <c r="AK3" t="inlineStr">
        <is>
          <t>Millones de euros</t>
        </is>
      </c>
      <c r="AM3" t="inlineStr">
        <is>
          <t>Total en millones de pesos1</t>
        </is>
      </c>
      <c r="AN3" t="inlineStr">
        <is>
          <t>Millones de pesos</t>
        </is>
      </c>
      <c r="AO3" t="inlineStr">
        <is>
          <t>Millones de dólares</t>
        </is>
      </c>
      <c r="AP3" t="inlineStr">
        <is>
          <t>Millones de euros</t>
        </is>
      </c>
      <c r="AR3" t="inlineStr">
        <is>
          <t>Total en millones de pesos1</t>
        </is>
      </c>
      <c r="AS3" t="inlineStr">
        <is>
          <t>Millones de pesos</t>
        </is>
      </c>
      <c r="AT3" t="inlineStr">
        <is>
          <t>Millones de dólares</t>
        </is>
      </c>
      <c r="AU3" t="inlineStr">
        <is>
          <t>Millones de   euros</t>
        </is>
      </c>
      <c r="AW3" t="inlineStr">
        <is>
          <t>Total en millones de pesos1</t>
        </is>
      </c>
      <c r="AX3" t="inlineStr">
        <is>
          <t>Millones de pesos</t>
        </is>
      </c>
      <c r="AY3" t="inlineStr">
        <is>
          <t>Millones de dólares</t>
        </is>
      </c>
      <c r="AZ3" t="inlineStr">
        <is>
          <t>Millones de   euros</t>
        </is>
      </c>
      <c r="BB3" t="inlineStr">
        <is>
          <t>Total en millones de pesos1</t>
        </is>
      </c>
      <c r="BC3" t="inlineStr">
        <is>
          <t>Millones de pesos</t>
        </is>
      </c>
      <c r="BD3" t="inlineStr">
        <is>
          <t>Millones de dólares</t>
        </is>
      </c>
      <c r="BE3" t="inlineStr">
        <is>
          <t>Millones de   euros</t>
        </is>
      </c>
      <c r="BG3" t="inlineStr">
        <is>
          <t>Millones de pesos</t>
        </is>
      </c>
      <c r="BH3" t="inlineStr">
        <is>
          <t>Total en millones de pesos1</t>
        </is>
      </c>
      <c r="BI3" t="inlineStr">
        <is>
          <t>Millones de dólares</t>
        </is>
      </c>
      <c r="BJ3" t="inlineStr">
        <is>
          <t>Millones de   euros</t>
        </is>
      </c>
      <c r="BL3" t="inlineStr">
        <is>
          <t>Millones de pesos</t>
        </is>
      </c>
      <c r="BM3" t="inlineStr">
        <is>
          <t>Total en millones de pesos1</t>
        </is>
      </c>
      <c r="BN3" t="inlineStr">
        <is>
          <t>Millones de dólares</t>
        </is>
      </c>
      <c r="BO3" t="inlineStr">
        <is>
          <t>Millones de   euros</t>
        </is>
      </c>
      <c r="BQ3" t="inlineStr">
        <is>
          <t>Total en millones de pesos1</t>
        </is>
      </c>
      <c r="BR3" t="inlineStr">
        <is>
          <t>Millones de pesos</t>
        </is>
      </c>
      <c r="BS3" t="inlineStr">
        <is>
          <t>Millones de dólares</t>
        </is>
      </c>
      <c r="BT3" t="inlineStr">
        <is>
          <t>Millones de   euros</t>
        </is>
      </c>
      <c r="BV3" t="inlineStr">
        <is>
          <t>Total en millones de pesos1</t>
        </is>
      </c>
      <c r="BW3" t="inlineStr">
        <is>
          <t>Millones de pesos</t>
        </is>
      </c>
      <c r="BX3" t="inlineStr">
        <is>
          <t>Millones de dólares</t>
        </is>
      </c>
      <c r="BY3" t="inlineStr">
        <is>
          <t>Millones de   euros</t>
        </is>
      </c>
      <c r="CA3" t="inlineStr">
        <is>
          <t>Total en millones de pesos1</t>
        </is>
      </c>
      <c r="CB3" t="inlineStr">
        <is>
          <t>Millones de pesos</t>
        </is>
      </c>
      <c r="CC3" t="inlineStr">
        <is>
          <t>Millones de dólares</t>
        </is>
      </c>
      <c r="CD3" t="inlineStr">
        <is>
          <t>Millones de   euros</t>
        </is>
      </c>
      <c r="CF3" t="inlineStr">
        <is>
          <t>Total en millones de pesos1</t>
        </is>
      </c>
      <c r="CG3" t="inlineStr">
        <is>
          <t>Millones de pesos</t>
        </is>
      </c>
      <c r="CH3" t="inlineStr">
        <is>
          <t>Millones de dólares</t>
        </is>
      </c>
      <c r="CI3" t="inlineStr">
        <is>
          <t>Millones de   euros</t>
        </is>
      </c>
      <c r="CK3" t="inlineStr">
        <is>
          <t>Total en millones de pesos1</t>
        </is>
      </c>
      <c r="CL3" t="inlineStr">
        <is>
          <t>Millones de pesos</t>
        </is>
      </c>
      <c r="CM3" t="inlineStr">
        <is>
          <t>Millones de dólares</t>
        </is>
      </c>
      <c r="CN3" t="inlineStr">
        <is>
          <t>Millones de   euros</t>
        </is>
      </c>
      <c r="CO3" t="inlineStr">
        <is>
          <t>UVAs</t>
        </is>
      </c>
      <c r="CQ3" t="inlineStr">
        <is>
          <t>Total en millones de pesos1</t>
        </is>
      </c>
      <c r="CR3" t="inlineStr">
        <is>
          <t>Millones de pesos</t>
        </is>
      </c>
      <c r="CS3" t="inlineStr">
        <is>
          <t>Millones de dólares</t>
        </is>
      </c>
      <c r="CT3" t="inlineStr">
        <is>
          <t>Millones de   euros</t>
        </is>
      </c>
      <c r="CU3" t="inlineStr">
        <is>
          <t>UVAs</t>
        </is>
      </c>
      <c r="CW3" t="inlineStr">
        <is>
          <t>Total en millones de pesos1</t>
        </is>
      </c>
      <c r="CX3" t="inlineStr">
        <is>
          <t>Millones de pesos</t>
        </is>
      </c>
      <c r="CY3" t="inlineStr">
        <is>
          <t>Millones de dólares</t>
        </is>
      </c>
      <c r="CZ3" t="inlineStr">
        <is>
          <t>Millones de   euros</t>
        </is>
      </c>
      <c r="DA3" t="inlineStr">
        <is>
          <t>UVAs</t>
        </is>
      </c>
      <c r="DC3" t="inlineStr">
        <is>
          <t>Total en millones de pesos1</t>
        </is>
      </c>
      <c r="DD3" t="inlineStr">
        <is>
          <t>Millones de pesos</t>
        </is>
      </c>
      <c r="DE3" t="inlineStr">
        <is>
          <t>Millones de dólares</t>
        </is>
      </c>
      <c r="DF3" t="inlineStr">
        <is>
          <t>Millones de   euros</t>
        </is>
      </c>
      <c r="DG3" t="inlineStr">
        <is>
          <t>UVAs</t>
        </is>
      </c>
      <c r="DI3" t="inlineStr">
        <is>
          <t>Total en millones de pesos1</t>
        </is>
      </c>
      <c r="DJ3" t="inlineStr">
        <is>
          <t>Millones de pesos</t>
        </is>
      </c>
      <c r="DK3" t="inlineStr">
        <is>
          <t>Millones de dólares</t>
        </is>
      </c>
      <c r="DL3" t="inlineStr">
        <is>
          <t>Millones de   euros</t>
        </is>
      </c>
      <c r="DM3" t="inlineStr">
        <is>
          <t>UVAs</t>
        </is>
      </c>
      <c r="DP3" t="inlineStr">
        <is>
          <t>Total en millones de pesos1</t>
        </is>
      </c>
      <c r="DQ3" t="inlineStr">
        <is>
          <t>Millones de pesos</t>
        </is>
      </c>
      <c r="DR3" t="inlineStr">
        <is>
          <t>Millones de dólares</t>
        </is>
      </c>
      <c r="DS3" t="inlineStr">
        <is>
          <t>Millones de   euros</t>
        </is>
      </c>
      <c r="DT3" t="inlineStr">
        <is>
          <t>UVAs</t>
        </is>
      </c>
      <c r="DV3" t="inlineStr">
        <is>
          <t>Total en millones de pesos1</t>
        </is>
      </c>
      <c r="DW3" t="inlineStr">
        <is>
          <t>Millones de pesos</t>
        </is>
      </c>
      <c r="DX3" t="inlineStr">
        <is>
          <t>Millones de dólares</t>
        </is>
      </c>
      <c r="DY3" t="inlineStr">
        <is>
          <t>Millones de   euros</t>
        </is>
      </c>
      <c r="DZ3" t="inlineStr">
        <is>
          <t>UVAs</t>
        </is>
      </c>
      <c r="EB3" t="inlineStr">
        <is>
          <t>Total en millones de pesos1</t>
        </is>
      </c>
      <c r="EC3" t="inlineStr">
        <is>
          <t>Millones de pesos</t>
        </is>
      </c>
      <c r="ED3" t="inlineStr">
        <is>
          <t>Millones de dólares</t>
        </is>
      </c>
      <c r="EE3" t="inlineStr">
        <is>
          <t>Millones de   euros</t>
        </is>
      </c>
      <c r="EF3" t="inlineStr">
        <is>
          <t>UVAs</t>
        </is>
      </c>
    </row>
    <row r="4">
      <c r="A4" t="inlineStr">
        <is>
          <t>Total</t>
        </is>
      </c>
      <c r="B4" t="n">
        <v>1000.6</v>
      </c>
      <c r="C4" t="n">
        <v>1162.1</v>
      </c>
      <c r="D4" t="n">
        <v>1035.55390812</v>
      </c>
      <c r="E4" t="n">
        <v>825.6599999999999</v>
      </c>
      <c r="F4" t="n">
        <v>1201.86</v>
      </c>
      <c r="G4" t="n">
        <v>1438.73</v>
      </c>
      <c r="I4" t="n">
        <v>2928.0004</v>
      </c>
      <c r="J4" t="n">
        <v>12.5</v>
      </c>
      <c r="K4" t="n">
        <v>93.84</v>
      </c>
      <c r="L4" t="n">
        <v>197.21</v>
      </c>
      <c r="N4" t="n">
        <v>2162.1637</v>
      </c>
      <c r="O4" t="n">
        <v>702.1199999999999</v>
      </c>
      <c r="P4" t="n">
        <v>361.74</v>
      </c>
      <c r="Q4" t="n">
        <v>199.15</v>
      </c>
      <c r="S4" t="n">
        <v>2687.81951246</v>
      </c>
      <c r="T4" t="n">
        <v>795.2148999999999</v>
      </c>
      <c r="U4" t="n">
        <v>366.3913</v>
      </c>
      <c r="V4" t="n">
        <v>197.3603</v>
      </c>
      <c r="X4" t="n">
        <v>3190.82055421</v>
      </c>
      <c r="Y4" t="n">
        <v>1441.5514</v>
      </c>
      <c r="Z4" t="n">
        <v>371.8647</v>
      </c>
      <c r="AA4" t="n">
        <v>173.3249</v>
      </c>
      <c r="AC4" t="n">
        <v>3069.733326</v>
      </c>
      <c r="AD4" t="n">
        <v>1382.2263</v>
      </c>
      <c r="AE4" t="n">
        <v>404.6549</v>
      </c>
      <c r="AF4" t="n">
        <v>107.9317</v>
      </c>
      <c r="AH4" t="n">
        <v>2722.11991185</v>
      </c>
      <c r="AI4" t="n">
        <v>1096.9815</v>
      </c>
      <c r="AJ4" t="n">
        <v>452.143</v>
      </c>
      <c r="AK4" t="n">
        <v>43.4719</v>
      </c>
      <c r="AM4" t="n">
        <v>3688.0461065315</v>
      </c>
      <c r="AN4" t="n">
        <v>2070.2912</v>
      </c>
      <c r="AO4" t="n">
        <v>441.9628</v>
      </c>
      <c r="AP4" t="n">
        <v>19.0719</v>
      </c>
      <c r="AR4" t="n">
        <v>4899.370722811999</v>
      </c>
      <c r="AS4" t="n">
        <v>3288.2338</v>
      </c>
      <c r="AT4" t="n">
        <v>389.0427</v>
      </c>
      <c r="AU4" t="n">
        <v>24.3778</v>
      </c>
      <c r="AW4" t="n">
        <v>6861.7634193256</v>
      </c>
      <c r="AX4" t="n">
        <v>3466.9338</v>
      </c>
      <c r="AY4" t="n">
        <v>775.2832000000001</v>
      </c>
      <c r="AZ4" t="n">
        <v>58.7884</v>
      </c>
      <c r="BB4" t="n">
        <v>6573.0954722058</v>
      </c>
      <c r="BC4" t="n">
        <v>2874.3102</v>
      </c>
      <c r="BD4" t="n">
        <v>752.5825</v>
      </c>
      <c r="BE4" t="n">
        <v>85.5177</v>
      </c>
      <c r="BG4" t="n">
        <v>11269.585120904</v>
      </c>
      <c r="BH4" t="n">
        <v>4448.012099999999</v>
      </c>
      <c r="BI4" t="n">
        <v>1257.4379</v>
      </c>
      <c r="BJ4" t="n">
        <v>98.2004</v>
      </c>
      <c r="BL4">
        <f>SUM(BL5:BL12)</f>
        <v/>
      </c>
      <c r="BM4" t="n">
        <v>5537.6168</v>
      </c>
      <c r="BN4" t="n">
        <v>1655.3117</v>
      </c>
      <c r="BO4" t="n">
        <v>98.0992</v>
      </c>
      <c r="BQ4">
        <f>SUM(BQ5:BQ12)</f>
        <v/>
      </c>
      <c r="BR4" t="n">
        <v>8858.351199999999</v>
      </c>
      <c r="BS4" t="n">
        <v>1937.3886</v>
      </c>
      <c r="BT4" t="n">
        <v>97.0158</v>
      </c>
      <c r="BV4">
        <f>SUM(BV5:BV12)</f>
        <v/>
      </c>
      <c r="BW4" t="n">
        <v>13482.36</v>
      </c>
      <c r="BX4" t="n">
        <v>2145.18</v>
      </c>
      <c r="BY4" t="n">
        <v>92.09</v>
      </c>
      <c r="CA4" t="n">
        <v>71481.53397400002</v>
      </c>
      <c r="CB4" t="n">
        <v>30608.838</v>
      </c>
      <c r="CC4" t="n">
        <v>2368.0966</v>
      </c>
      <c r="CD4" t="n">
        <v>78.3</v>
      </c>
      <c r="CF4" t="n">
        <v>94209.94008099999</v>
      </c>
      <c r="CG4" t="n">
        <v>54820.3806</v>
      </c>
      <c r="CH4" t="n">
        <v>2043.4387</v>
      </c>
      <c r="CI4" t="n">
        <v>57.0388</v>
      </c>
      <c r="CK4" t="n">
        <v>146236.786368</v>
      </c>
      <c r="CL4" t="n">
        <v>67192.66129999999</v>
      </c>
      <c r="CM4" t="n">
        <v>2021.92059</v>
      </c>
      <c r="CN4" t="n">
        <v>33.8075</v>
      </c>
      <c r="CO4" t="n">
        <v>43.7958</v>
      </c>
      <c r="CQ4" t="n">
        <v>226096.417675</v>
      </c>
      <c r="CR4" t="n">
        <v>99971.78389999999</v>
      </c>
      <c r="CS4" t="n">
        <v>2064.4822</v>
      </c>
      <c r="CT4" t="n">
        <v>14.0388</v>
      </c>
      <c r="CU4" t="n">
        <v>32.6</v>
      </c>
      <c r="CW4" t="n">
        <v>324857.847785</v>
      </c>
      <c r="CX4" t="n">
        <v>158134.0172</v>
      </c>
      <c r="CY4" t="n">
        <v>1957.6599</v>
      </c>
      <c r="CZ4" t="inlineStr">
        <is>
          <t>-</t>
        </is>
      </c>
      <c r="DA4" t="n">
        <v>30.8885</v>
      </c>
      <c r="DC4" t="n">
        <v>271752.91561</v>
      </c>
      <c r="DD4" t="n">
        <v>108562.8</v>
      </c>
      <c r="DE4" t="n">
        <v>1488</v>
      </c>
      <c r="DF4" t="inlineStr">
        <is>
          <t>-</t>
        </is>
      </c>
      <c r="DG4" t="n">
        <v>29.311</v>
      </c>
      <c r="DI4" t="n">
        <v>363796.564</v>
      </c>
      <c r="DJ4" t="n">
        <v>80123.2</v>
      </c>
      <c r="DK4">
        <f>SUM(DK5:DK13)</f>
        <v/>
      </c>
      <c r="DL4" t="inlineStr">
        <is>
          <t>-</t>
        </is>
      </c>
      <c r="DM4">
        <f>SUM(DM5:DM13)</f>
        <v/>
      </c>
      <c r="DP4" t="n">
        <v>1336868.4</v>
      </c>
      <c r="DQ4" t="n">
        <v>62225.5</v>
      </c>
      <c r="DR4" t="n">
        <v>1539</v>
      </c>
      <c r="DS4" t="inlineStr">
        <is>
          <t>-</t>
        </is>
      </c>
      <c r="DT4" t="inlineStr">
        <is>
          <t>-</t>
        </is>
      </c>
      <c r="DV4" t="n">
        <v>1621842.2</v>
      </c>
      <c r="DW4" t="n">
        <v>36007.10000000001</v>
      </c>
      <c r="DX4" t="n">
        <v>1506.7</v>
      </c>
      <c r="DY4" t="inlineStr">
        <is>
          <t>-</t>
        </is>
      </c>
      <c r="DZ4" t="inlineStr">
        <is>
          <t>-</t>
        </is>
      </c>
      <c r="EB4" t="n">
        <v>2627662</v>
      </c>
      <c r="EC4" t="n">
        <v>35385.7</v>
      </c>
      <c r="ED4" t="n">
        <v>1751.6</v>
      </c>
      <c r="EE4" t="inlineStr">
        <is>
          <t>-</t>
        </is>
      </c>
      <c r="EF4" t="inlineStr">
        <is>
          <t>-</t>
        </is>
      </c>
    </row>
    <row r="5">
      <c r="A5" t="inlineStr">
        <is>
          <t>Proveedores y Contratistas</t>
        </is>
      </c>
      <c r="B5" t="n">
        <v>481.3</v>
      </c>
      <c r="C5" t="n">
        <v>420.6</v>
      </c>
      <c r="D5" t="n">
        <v>396.49444989</v>
      </c>
      <c r="E5" t="n">
        <v>201.7</v>
      </c>
      <c r="F5" t="n">
        <v>483.73</v>
      </c>
      <c r="G5" t="n">
        <v>655.35</v>
      </c>
      <c r="I5" t="n">
        <v>665.2</v>
      </c>
      <c r="J5" t="n">
        <v>665.16</v>
      </c>
      <c r="K5" t="inlineStr">
        <is>
          <t>-</t>
        </is>
      </c>
      <c r="L5" t="inlineStr">
        <is>
          <t>-</t>
        </is>
      </c>
      <c r="N5" t="n">
        <v>356.4</v>
      </c>
      <c r="O5" t="n">
        <v>356.44</v>
      </c>
      <c r="P5" t="inlineStr">
        <is>
          <t>-</t>
        </is>
      </c>
      <c r="Q5" t="inlineStr">
        <is>
          <t>-</t>
        </is>
      </c>
      <c r="S5" t="n">
        <v>454.59</v>
      </c>
      <c r="T5" t="n">
        <v>454.59</v>
      </c>
      <c r="U5" t="inlineStr">
        <is>
          <t>-</t>
        </is>
      </c>
      <c r="V5" t="inlineStr">
        <is>
          <t>-</t>
        </is>
      </c>
      <c r="X5" t="n">
        <v>970.17</v>
      </c>
      <c r="Y5" t="n">
        <v>970.17</v>
      </c>
      <c r="Z5" t="inlineStr">
        <is>
          <t>-</t>
        </is>
      </c>
      <c r="AA5" t="inlineStr">
        <is>
          <t>-</t>
        </is>
      </c>
      <c r="AC5" t="n">
        <v>1164.316</v>
      </c>
      <c r="AD5" t="n">
        <v>1164.316</v>
      </c>
      <c r="AE5" t="inlineStr">
        <is>
          <t>-</t>
        </is>
      </c>
      <c r="AF5" t="inlineStr">
        <is>
          <t>-</t>
        </is>
      </c>
      <c r="AH5" t="n">
        <v>962.4666999999999</v>
      </c>
      <c r="AI5" t="n">
        <v>962.4666999999999</v>
      </c>
      <c r="AJ5" t="inlineStr">
        <is>
          <t>-</t>
        </is>
      </c>
      <c r="AK5" t="inlineStr">
        <is>
          <t>-</t>
        </is>
      </c>
      <c r="AM5" t="n">
        <v>1975.3239</v>
      </c>
      <c r="AN5" t="n">
        <v>1975.3239</v>
      </c>
      <c r="AO5" t="inlineStr">
        <is>
          <t>-</t>
        </is>
      </c>
      <c r="AP5" t="inlineStr">
        <is>
          <t>-</t>
        </is>
      </c>
      <c r="AR5" t="n">
        <v>2326.3446</v>
      </c>
      <c r="AS5" t="n">
        <v>2326.3446</v>
      </c>
      <c r="AT5" t="inlineStr">
        <is>
          <t>-</t>
        </is>
      </c>
      <c r="AU5" t="inlineStr">
        <is>
          <t>-</t>
        </is>
      </c>
      <c r="AW5" t="n">
        <v>2349.6618</v>
      </c>
      <c r="AX5" t="n">
        <v>2349.6618</v>
      </c>
      <c r="AY5" t="inlineStr">
        <is>
          <t>-</t>
        </is>
      </c>
      <c r="AZ5" t="inlineStr">
        <is>
          <t>-</t>
        </is>
      </c>
      <c r="BB5" t="n">
        <v>2464.0964879</v>
      </c>
      <c r="BC5" t="n">
        <v>2457.9494</v>
      </c>
      <c r="BD5" t="n">
        <v>1.4359</v>
      </c>
      <c r="BE5" t="inlineStr">
        <is>
          <t>-</t>
        </is>
      </c>
      <c r="BG5" t="n">
        <v>4146.924304</v>
      </c>
      <c r="BH5" t="n">
        <v>4112.6065</v>
      </c>
      <c r="BI5" t="n">
        <v>6.978</v>
      </c>
      <c r="BJ5" t="inlineStr">
        <is>
          <t>-</t>
        </is>
      </c>
      <c r="BL5" t="n">
        <v>5387.716885</v>
      </c>
      <c r="BM5" t="n">
        <v>5352.538</v>
      </c>
      <c r="BN5" t="n">
        <v>5.3914</v>
      </c>
      <c r="BO5" t="inlineStr">
        <is>
          <t>-</t>
        </is>
      </c>
      <c r="BQ5" t="n">
        <v>8020.386878</v>
      </c>
      <c r="BR5" t="n">
        <v>7994.0669</v>
      </c>
      <c r="BS5" t="n">
        <v>3.078</v>
      </c>
      <c r="BT5" t="inlineStr">
        <is>
          <t>-</t>
        </is>
      </c>
      <c r="BV5" t="n">
        <v>9793.849600000001</v>
      </c>
      <c r="BW5" t="n">
        <v>9787.460000000001</v>
      </c>
      <c r="BX5" t="n">
        <v>0.49</v>
      </c>
      <c r="BY5" t="inlineStr">
        <is>
          <t>-</t>
        </is>
      </c>
      <c r="CA5" t="n">
        <v>21985.208076</v>
      </c>
      <c r="CB5" t="n">
        <v>21982.85</v>
      </c>
      <c r="CC5" t="n">
        <v>0.1484</v>
      </c>
      <c r="CD5" t="inlineStr">
        <is>
          <t>-</t>
        </is>
      </c>
      <c r="CF5" t="n">
        <v>24439.0599</v>
      </c>
      <c r="CG5" t="n">
        <v>24439.0599</v>
      </c>
      <c r="CH5" t="inlineStr">
        <is>
          <t>-</t>
        </is>
      </c>
      <c r="CI5" t="inlineStr">
        <is>
          <t>-</t>
        </is>
      </c>
      <c r="CK5" t="n">
        <v>33107.785</v>
      </c>
      <c r="CL5" t="n">
        <v>33063.0315</v>
      </c>
      <c r="CM5" t="n">
        <v>1.18663</v>
      </c>
      <c r="CN5" t="inlineStr">
        <is>
          <t>-</t>
        </is>
      </c>
      <c r="CO5" t="inlineStr">
        <is>
          <t>-</t>
        </is>
      </c>
      <c r="CQ5" t="n">
        <v>43502.43257</v>
      </c>
      <c r="CR5" t="n">
        <v>43464.5338</v>
      </c>
      <c r="CS5" t="n">
        <v>0.6193</v>
      </c>
      <c r="CT5" t="inlineStr">
        <is>
          <t>-</t>
        </is>
      </c>
      <c r="CU5" t="inlineStr">
        <is>
          <t>-</t>
        </is>
      </c>
      <c r="CW5" t="n">
        <v>61308.9274</v>
      </c>
      <c r="CX5" t="n">
        <v>61308.9274</v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</row>
    <row r="6">
      <c r="A6" t="inlineStr">
        <is>
          <t>Deuda previsional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62</v>
      </c>
      <c r="F6" t="n">
        <v>96.90000000000001</v>
      </c>
      <c r="G6" t="n">
        <v>89.09</v>
      </c>
      <c r="I6" t="n">
        <v>87.88</v>
      </c>
      <c r="J6" t="n">
        <v>87.88</v>
      </c>
      <c r="K6" t="inlineStr">
        <is>
          <t>-</t>
        </is>
      </c>
      <c r="L6" t="inlineStr">
        <is>
          <t>-</t>
        </is>
      </c>
      <c r="N6" t="n">
        <v>64.02</v>
      </c>
      <c r="O6" t="n">
        <v>64.02</v>
      </c>
      <c r="P6" t="inlineStr">
        <is>
          <t>-</t>
        </is>
      </c>
      <c r="Q6" t="inlineStr">
        <is>
          <t>-</t>
        </is>
      </c>
      <c r="S6" t="n">
        <v>38.92</v>
      </c>
      <c r="T6" t="n">
        <v>38.92</v>
      </c>
      <c r="U6" t="inlineStr">
        <is>
          <t>-</t>
        </is>
      </c>
      <c r="V6" t="inlineStr">
        <is>
          <t>-</t>
        </is>
      </c>
      <c r="X6" t="n">
        <v>35.9</v>
      </c>
      <c r="Y6" t="n">
        <v>35.8677</v>
      </c>
      <c r="Z6" t="inlineStr">
        <is>
          <t>-</t>
        </is>
      </c>
      <c r="AA6" t="inlineStr">
        <is>
          <t>-</t>
        </is>
      </c>
      <c r="AC6" t="n">
        <v>34.2876</v>
      </c>
      <c r="AD6" t="n">
        <v>34.2876</v>
      </c>
      <c r="AE6" t="inlineStr">
        <is>
          <t>-</t>
        </is>
      </c>
      <c r="AF6" t="inlineStr">
        <is>
          <t>-</t>
        </is>
      </c>
      <c r="AH6" t="n">
        <v>34.1133</v>
      </c>
      <c r="AI6" t="n">
        <v>34.1133</v>
      </c>
      <c r="AJ6" t="inlineStr">
        <is>
          <t>-</t>
        </is>
      </c>
      <c r="AK6" t="inlineStr">
        <is>
          <t>-</t>
        </is>
      </c>
      <c r="AM6" t="n">
        <v>33.5211</v>
      </c>
      <c r="AN6" t="n">
        <v>33.5211</v>
      </c>
      <c r="AO6" t="inlineStr">
        <is>
          <t>-</t>
        </is>
      </c>
      <c r="AP6" t="inlineStr">
        <is>
          <t>-</t>
        </is>
      </c>
      <c r="AR6" t="n">
        <v>33.1605</v>
      </c>
      <c r="AS6" t="n">
        <v>33.1605</v>
      </c>
      <c r="AT6" t="inlineStr">
        <is>
          <t>-</t>
        </is>
      </c>
      <c r="AU6" t="inlineStr">
        <is>
          <t>-</t>
        </is>
      </c>
      <c r="AW6" t="n">
        <v>32.7616</v>
      </c>
      <c r="AX6" t="n">
        <v>32.7616</v>
      </c>
      <c r="AY6" t="inlineStr">
        <is>
          <t>-</t>
        </is>
      </c>
      <c r="AZ6" t="inlineStr">
        <is>
          <t>-</t>
        </is>
      </c>
      <c r="BB6" t="n">
        <v>32.6701</v>
      </c>
      <c r="BC6" t="n">
        <v>32.6701</v>
      </c>
      <c r="BD6" t="inlineStr">
        <is>
          <t>-</t>
        </is>
      </c>
      <c r="BE6" t="inlineStr">
        <is>
          <t>-</t>
        </is>
      </c>
      <c r="BG6" t="n">
        <v>32.611</v>
      </c>
      <c r="BH6" t="n">
        <v>32.611</v>
      </c>
      <c r="BI6" t="inlineStr">
        <is>
          <t>-</t>
        </is>
      </c>
      <c r="BJ6" t="inlineStr">
        <is>
          <t>-</t>
        </is>
      </c>
      <c r="BL6" t="n">
        <v>32.7004</v>
      </c>
      <c r="BM6" t="n">
        <v>32.7004</v>
      </c>
      <c r="BN6" t="inlineStr">
        <is>
          <t>-</t>
        </is>
      </c>
      <c r="BO6" t="inlineStr">
        <is>
          <t>-</t>
        </is>
      </c>
      <c r="BQ6" t="n">
        <v>32.7549</v>
      </c>
      <c r="BR6" t="n">
        <v>32.7549</v>
      </c>
      <c r="BS6" t="inlineStr">
        <is>
          <t>-</t>
        </is>
      </c>
      <c r="BT6" t="inlineStr">
        <is>
          <t>-</t>
        </is>
      </c>
      <c r="BV6" t="n">
        <v>32.83</v>
      </c>
      <c r="BW6" t="n">
        <v>32.83</v>
      </c>
      <c r="BX6" t="inlineStr">
        <is>
          <t>-</t>
        </is>
      </c>
      <c r="BY6" t="inlineStr">
        <is>
          <t>-</t>
        </is>
      </c>
      <c r="CA6" t="n">
        <v>32.8</v>
      </c>
      <c r="CB6" t="n">
        <v>32.8</v>
      </c>
      <c r="CC6" t="inlineStr">
        <is>
          <t>-</t>
        </is>
      </c>
      <c r="CD6" t="inlineStr">
        <is>
          <t>-</t>
        </is>
      </c>
      <c r="CF6" t="n">
        <v>32.8</v>
      </c>
      <c r="CG6" t="n">
        <v>32.8</v>
      </c>
      <c r="CH6" t="inlineStr">
        <is>
          <t>-</t>
        </is>
      </c>
      <c r="CI6" t="inlineStr">
        <is>
          <t>-</t>
        </is>
      </c>
      <c r="CK6" t="n">
        <v>32.9536</v>
      </c>
      <c r="CL6" t="n">
        <v>32.9536</v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Q6" t="n">
        <v>32.9536</v>
      </c>
      <c r="CR6" t="n">
        <v>32.9536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</row>
    <row r="7">
      <c r="A7" t="inlineStr">
        <is>
          <t>Títulos públicos</t>
        </is>
      </c>
      <c r="B7" t="inlineStr">
        <is>
          <t>-</t>
        </is>
      </c>
      <c r="C7" t="n">
        <v>496.2</v>
      </c>
      <c r="D7" t="n">
        <v>499.97873959</v>
      </c>
      <c r="E7" t="n">
        <v>488.9</v>
      </c>
      <c r="F7" t="n">
        <v>562.2</v>
      </c>
      <c r="G7" t="n">
        <v>562.2</v>
      </c>
      <c r="I7" t="n">
        <v>1846.1796</v>
      </c>
      <c r="J7" t="n">
        <v>207.81</v>
      </c>
      <c r="K7" t="n">
        <v>279.59</v>
      </c>
      <c r="L7" t="n">
        <v>197.21</v>
      </c>
      <c r="N7" t="n">
        <v>1416.0587</v>
      </c>
      <c r="O7" t="n">
        <v>270.95</v>
      </c>
      <c r="P7" t="n">
        <v>254.24</v>
      </c>
      <c r="Q7" t="n">
        <v>199.15</v>
      </c>
      <c r="S7" t="n">
        <v>1850.04916666</v>
      </c>
      <c r="T7" t="n">
        <v>291.54</v>
      </c>
      <c r="U7" t="n">
        <v>254.2411</v>
      </c>
      <c r="V7" t="n">
        <v>197.3603</v>
      </c>
      <c r="X7" t="n">
        <v>1820.78854381</v>
      </c>
      <c r="Y7" t="n">
        <v>427.6577</v>
      </c>
      <c r="Z7" t="n">
        <v>254.43</v>
      </c>
      <c r="AA7" t="n">
        <v>173.3249</v>
      </c>
      <c r="AC7" t="n">
        <v>1400.231435</v>
      </c>
      <c r="AD7" t="n">
        <v>176.7494</v>
      </c>
      <c r="AE7" t="n">
        <v>254.485</v>
      </c>
      <c r="AF7" t="n">
        <v>107.9317</v>
      </c>
      <c r="AH7" t="n">
        <v>1089.32962825</v>
      </c>
      <c r="AI7" t="n">
        <v>94.98260000000001</v>
      </c>
      <c r="AJ7" t="n">
        <v>254.485</v>
      </c>
      <c r="AK7" t="n">
        <v>41.6655</v>
      </c>
      <c r="AM7" t="n">
        <v>994.6055377905001</v>
      </c>
      <c r="AN7" t="n">
        <v>57.4038</v>
      </c>
      <c r="AO7" t="n">
        <v>254.485</v>
      </c>
      <c r="AP7" t="n">
        <v>12.1653</v>
      </c>
      <c r="AR7" t="n">
        <v>1461.87878</v>
      </c>
      <c r="AS7" t="n">
        <v>626.2071</v>
      </c>
      <c r="AT7" t="n">
        <v>219.9136</v>
      </c>
      <c r="AU7" t="inlineStr">
        <is>
          <t>-</t>
        </is>
      </c>
      <c r="AW7" t="n">
        <v>3024.1</v>
      </c>
      <c r="AX7" t="n">
        <v>540.6</v>
      </c>
      <c r="AY7" t="n">
        <v>624.6</v>
      </c>
      <c r="AZ7" t="inlineStr">
        <is>
          <t>-</t>
        </is>
      </c>
      <c r="BB7" t="n">
        <v>2645.9167584</v>
      </c>
      <c r="BC7" t="n">
        <v>2.5431</v>
      </c>
      <c r="BD7" t="n">
        <v>617.4664</v>
      </c>
      <c r="BE7" t="inlineStr">
        <is>
          <t>-</t>
        </is>
      </c>
      <c r="BG7" t="n">
        <v>5770.479314</v>
      </c>
      <c r="BH7" t="n">
        <v>195.5673</v>
      </c>
      <c r="BI7" t="n">
        <v>1133.573</v>
      </c>
      <c r="BJ7" t="inlineStr">
        <is>
          <t>-</t>
        </is>
      </c>
      <c r="BL7" t="n">
        <v>10213.13305</v>
      </c>
      <c r="BM7" t="n">
        <v>101.9539</v>
      </c>
      <c r="BN7" t="n">
        <v>1549.606</v>
      </c>
      <c r="BO7" t="inlineStr">
        <is>
          <t>-</t>
        </is>
      </c>
      <c r="BQ7" t="n">
        <v>16198.449254</v>
      </c>
      <c r="BR7" t="n">
        <v>374.362</v>
      </c>
      <c r="BS7" t="n">
        <v>1850.554</v>
      </c>
      <c r="BT7" t="inlineStr">
        <is>
          <t>-</t>
        </is>
      </c>
      <c r="BV7" t="n">
        <v>26191.4416</v>
      </c>
      <c r="BW7" t="n">
        <v>1216.06</v>
      </c>
      <c r="BX7" t="n">
        <v>1915.29</v>
      </c>
      <c r="BY7" t="inlineStr">
        <is>
          <t>-</t>
        </is>
      </c>
      <c r="CA7" t="n">
        <v>39430.27589800001</v>
      </c>
      <c r="CB7" t="n">
        <v>4395.238</v>
      </c>
      <c r="CC7" t="n">
        <v>2204.8482</v>
      </c>
      <c r="CD7" t="inlineStr">
        <is>
          <t>-</t>
        </is>
      </c>
      <c r="CF7" t="n">
        <v>52258.2605</v>
      </c>
      <c r="CG7" t="n">
        <v>22259.2661</v>
      </c>
      <c r="CH7" t="n">
        <v>1608.5596</v>
      </c>
      <c r="CI7" t="inlineStr">
        <is>
          <t>-</t>
        </is>
      </c>
      <c r="CK7" t="n">
        <v>83601.30100000001</v>
      </c>
      <c r="CL7" t="n">
        <v>28304.3623</v>
      </c>
      <c r="CM7" t="n">
        <v>1466.8105</v>
      </c>
      <c r="CN7" t="inlineStr">
        <is>
          <t>-</t>
        </is>
      </c>
      <c r="CO7" t="inlineStr">
        <is>
          <t>-</t>
        </is>
      </c>
      <c r="CQ7" t="n">
        <v>122847.458592</v>
      </c>
      <c r="CR7" t="n">
        <v>47782.9616</v>
      </c>
      <c r="CS7" t="n">
        <v>1253.3728</v>
      </c>
      <c r="CT7" t="inlineStr">
        <is>
          <t>-</t>
        </is>
      </c>
      <c r="CU7" t="inlineStr">
        <is>
          <t>-</t>
        </is>
      </c>
      <c r="CW7" t="n">
        <v>178151.00534</v>
      </c>
      <c r="CX7" t="n">
        <v>87988.18490000001</v>
      </c>
      <c r="CY7" t="n">
        <v>1071.4536</v>
      </c>
      <c r="CZ7" t="inlineStr">
        <is>
          <t>-</t>
        </is>
      </c>
      <c r="DA7" t="inlineStr">
        <is>
          <t>-</t>
        </is>
      </c>
      <c r="DC7" t="n">
        <v>195991.3</v>
      </c>
      <c r="DD7" t="n">
        <v>100093.8</v>
      </c>
      <c r="DE7" t="n">
        <v>890</v>
      </c>
      <c r="DF7" t="inlineStr">
        <is>
          <t>-</t>
        </is>
      </c>
      <c r="DG7" t="inlineStr">
        <is>
          <t>-</t>
        </is>
      </c>
      <c r="DI7" t="n">
        <v>239728.6</v>
      </c>
      <c r="DJ7" t="n">
        <v>76636.10000000001</v>
      </c>
      <c r="DK7" t="n">
        <v>890</v>
      </c>
      <c r="DL7" t="inlineStr">
        <is>
          <t>-</t>
        </is>
      </c>
      <c r="DM7" t="inlineStr">
        <is>
          <t>-</t>
        </is>
      </c>
      <c r="DP7" t="n">
        <v>798830</v>
      </c>
      <c r="DQ7" t="n">
        <v>61687.5</v>
      </c>
      <c r="DR7" t="n">
        <v>890</v>
      </c>
      <c r="DS7" t="inlineStr">
        <is>
          <t>-</t>
        </is>
      </c>
      <c r="DT7" t="inlineStr">
        <is>
          <t>-</t>
        </is>
      </c>
      <c r="DV7" t="n">
        <v>972409.3</v>
      </c>
      <c r="DW7" t="n">
        <v>35684.3</v>
      </c>
      <c r="DX7" t="n">
        <v>890</v>
      </c>
      <c r="DY7" t="inlineStr">
        <is>
          <t>-</t>
        </is>
      </c>
      <c r="DZ7" t="inlineStr">
        <is>
          <t>-</t>
        </is>
      </c>
      <c r="EB7" t="n">
        <v>1801455.3</v>
      </c>
      <c r="EC7" t="n">
        <v>35278.1</v>
      </c>
      <c r="ED7" t="n">
        <v>1193.4</v>
      </c>
      <c r="EE7" t="inlineStr">
        <is>
          <t>-</t>
        </is>
      </c>
      <c r="EF7" t="inlineStr">
        <is>
          <t>-</t>
        </is>
      </c>
    </row>
    <row r="8">
      <c r="A8" t="inlineStr">
        <is>
          <t>Letras del Tesoro Ley 3395 art. 2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R8" t="n">
        <v>300.7434</v>
      </c>
      <c r="AS8" t="n">
        <v>300.7434</v>
      </c>
      <c r="AT8" t="inlineStr">
        <is>
          <t>-</t>
        </is>
      </c>
      <c r="AU8" t="inlineStr">
        <is>
          <t>-</t>
        </is>
      </c>
      <c r="AW8" t="n">
        <v>543.5121</v>
      </c>
      <c r="AX8" t="n">
        <v>543.5121</v>
      </c>
      <c r="AY8" t="inlineStr">
        <is>
          <t>-</t>
        </is>
      </c>
      <c r="AZ8" t="inlineStr">
        <is>
          <t>-</t>
        </is>
      </c>
      <c r="BB8" t="n">
        <v>381.1476</v>
      </c>
      <c r="BC8" t="n">
        <v>381.1476</v>
      </c>
      <c r="BD8" t="inlineStr">
        <is>
          <t>-</t>
        </is>
      </c>
      <c r="BE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Q8" t="n">
        <v>441.4464</v>
      </c>
      <c r="BR8" t="n">
        <v>441.4464</v>
      </c>
      <c r="BS8" t="inlineStr">
        <is>
          <t>-</t>
        </is>
      </c>
      <c r="BT8" t="inlineStr">
        <is>
          <t>-</t>
        </is>
      </c>
      <c r="BV8" t="n">
        <v>2446.01</v>
      </c>
      <c r="BW8" t="n">
        <v>2446.01</v>
      </c>
      <c r="BX8" t="inlineStr">
        <is>
          <t>-</t>
        </is>
      </c>
      <c r="BY8" t="inlineStr">
        <is>
          <t>-</t>
        </is>
      </c>
      <c r="CA8" t="n">
        <v>2107.9</v>
      </c>
      <c r="CB8" t="n">
        <v>2107.9</v>
      </c>
      <c r="CC8" t="inlineStr">
        <is>
          <t>-</t>
        </is>
      </c>
      <c r="CD8" t="inlineStr">
        <is>
          <t>-</t>
        </is>
      </c>
      <c r="CF8" t="n">
        <v>3916.4239</v>
      </c>
      <c r="CG8" t="n">
        <v>3916.4239</v>
      </c>
      <c r="CH8" t="inlineStr">
        <is>
          <t>-</t>
        </is>
      </c>
      <c r="CI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</row>
    <row r="9">
      <c r="A9" t="inlineStr">
        <is>
          <t xml:space="preserve">Deuda financiera </t>
        </is>
      </c>
      <c r="B9" t="n">
        <v>496.1</v>
      </c>
      <c r="C9" t="n">
        <v>226.1</v>
      </c>
      <c r="D9" t="n">
        <v>121.48071864</v>
      </c>
      <c r="E9" t="n">
        <v>49.3</v>
      </c>
      <c r="F9" t="n">
        <v>13.81</v>
      </c>
      <c r="G9" t="n">
        <v>76.95999999999999</v>
      </c>
      <c r="I9" t="n">
        <v>11.96</v>
      </c>
      <c r="J9" t="n">
        <v>11.96</v>
      </c>
      <c r="K9" t="inlineStr">
        <is>
          <t>-</t>
        </is>
      </c>
      <c r="L9" t="inlineStr">
        <is>
          <t>-</t>
        </is>
      </c>
      <c r="N9" t="n">
        <v>10.43</v>
      </c>
      <c r="O9" t="n">
        <v>10.43</v>
      </c>
      <c r="P9" t="inlineStr">
        <is>
          <t>-</t>
        </is>
      </c>
      <c r="Q9" t="inlineStr">
        <is>
          <t>-</t>
        </is>
      </c>
      <c r="S9" t="n">
        <v>10.1649</v>
      </c>
      <c r="T9" t="n">
        <v>10.1649</v>
      </c>
      <c r="U9" t="inlineStr">
        <is>
          <t>-</t>
        </is>
      </c>
      <c r="V9" t="inlineStr">
        <is>
          <t>-</t>
        </is>
      </c>
      <c r="X9" t="n">
        <v>7.9</v>
      </c>
      <c r="Y9" t="n">
        <v>7.856</v>
      </c>
      <c r="Z9" t="inlineStr">
        <is>
          <t>-</t>
        </is>
      </c>
      <c r="AA9" t="inlineStr">
        <is>
          <t>-</t>
        </is>
      </c>
      <c r="AC9" t="n">
        <v>6.8733</v>
      </c>
      <c r="AD9" t="n">
        <v>6.8733</v>
      </c>
      <c r="AE9" t="inlineStr">
        <is>
          <t>-</t>
        </is>
      </c>
      <c r="AF9" t="inlineStr">
        <is>
          <t>-</t>
        </is>
      </c>
      <c r="AH9" t="n">
        <v>5.4189</v>
      </c>
      <c r="AI9" t="n">
        <v>5.4189</v>
      </c>
      <c r="AJ9" t="inlineStr">
        <is>
          <t>-</t>
        </is>
      </c>
      <c r="AK9" t="inlineStr">
        <is>
          <t>-</t>
        </is>
      </c>
      <c r="AM9" t="n">
        <v>4.0424</v>
      </c>
      <c r="AN9" t="n">
        <v>4.0424</v>
      </c>
      <c r="AO9" t="inlineStr">
        <is>
          <t>-</t>
        </is>
      </c>
      <c r="AP9" t="inlineStr">
        <is>
          <t>-</t>
        </is>
      </c>
      <c r="AR9" t="n">
        <v>1.7782</v>
      </c>
      <c r="AS9" t="n">
        <v>1.7782</v>
      </c>
      <c r="AT9" t="inlineStr">
        <is>
          <t>-</t>
        </is>
      </c>
      <c r="AU9" t="inlineStr">
        <is>
          <t>-</t>
        </is>
      </c>
      <c r="AW9" t="n">
        <v>0.4507</v>
      </c>
      <c r="AX9" t="n">
        <v>0.4507</v>
      </c>
      <c r="AY9" t="inlineStr">
        <is>
          <t>-</t>
        </is>
      </c>
      <c r="AZ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K9" t="n">
        <v>1588.367468</v>
      </c>
      <c r="CL9" t="inlineStr">
        <is>
          <t>-</t>
        </is>
      </c>
      <c r="CM9" t="n">
        <v>6.04966</v>
      </c>
      <c r="CN9" t="inlineStr">
        <is>
          <t>-</t>
        </is>
      </c>
      <c r="CO9" t="n">
        <v>43.7958</v>
      </c>
      <c r="CQ9" t="n">
        <v>1538.1574</v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32.6157</v>
      </c>
      <c r="CW9" t="n">
        <v>1986.75</v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n">
        <v>30.8885</v>
      </c>
      <c r="DC9" t="n">
        <v>2858.11561</v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n">
        <v>29.311</v>
      </c>
      <c r="DI9" t="n">
        <v>5133.364</v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n">
        <v>27.7</v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</row>
    <row r="10">
      <c r="A10" t="inlineStr">
        <is>
          <t>Organismos internacionales de crédito</t>
        </is>
      </c>
      <c r="B10" t="n">
        <v>23.2</v>
      </c>
      <c r="C10" t="n">
        <v>19.2</v>
      </c>
      <c r="D10" t="n">
        <v>17.6</v>
      </c>
      <c r="E10" t="n">
        <v>23.76</v>
      </c>
      <c r="F10" t="n">
        <v>45.22</v>
      </c>
      <c r="G10" t="n">
        <v>55.13</v>
      </c>
      <c r="I10" t="n">
        <v>316.7808000000001</v>
      </c>
      <c r="J10" t="n">
        <v>0.54</v>
      </c>
      <c r="K10" t="n">
        <v>93.84</v>
      </c>
      <c r="L10" t="inlineStr">
        <is>
          <t>-</t>
        </is>
      </c>
      <c r="N10" t="n">
        <v>315.255</v>
      </c>
      <c r="O10" t="n">
        <v>0.28</v>
      </c>
      <c r="P10" t="n">
        <v>107.5</v>
      </c>
      <c r="Q10" t="inlineStr">
        <is>
          <t>-</t>
        </is>
      </c>
      <c r="S10" t="n">
        <v>334.0954458</v>
      </c>
      <c r="T10" t="inlineStr">
        <is>
          <t>-</t>
        </is>
      </c>
      <c r="U10" t="n">
        <v>112.1502</v>
      </c>
      <c r="V10" t="inlineStr">
        <is>
          <t>-</t>
        </is>
      </c>
      <c r="X10" t="n">
        <v>356.0620104</v>
      </c>
      <c r="Y10" t="inlineStr">
        <is>
          <t>-</t>
        </is>
      </c>
      <c r="Z10" t="n">
        <v>117.4347</v>
      </c>
      <c r="AA10" t="inlineStr">
        <is>
          <t>-</t>
        </is>
      </c>
      <c r="AC10" t="n">
        <v>464.024991</v>
      </c>
      <c r="AD10" t="inlineStr">
        <is>
          <t>-</t>
        </is>
      </c>
      <c r="AE10" t="n">
        <v>150.1699</v>
      </c>
      <c r="AF10" t="inlineStr">
        <is>
          <t>-</t>
        </is>
      </c>
      <c r="AH10" t="n">
        <v>624.0108676</v>
      </c>
      <c r="AI10" t="inlineStr">
        <is>
          <t>-</t>
        </is>
      </c>
      <c r="AJ10" t="n">
        <v>197.658</v>
      </c>
      <c r="AK10" t="n">
        <v>0.3424</v>
      </c>
      <c r="AM10" t="n">
        <v>680.553168741</v>
      </c>
      <c r="AN10" t="inlineStr">
        <is>
          <t>-</t>
        </is>
      </c>
      <c r="AO10" t="n">
        <v>187.4778</v>
      </c>
      <c r="AP10" t="n">
        <v>6.9066</v>
      </c>
      <c r="AR10" t="n">
        <v>775.4652428119999</v>
      </c>
      <c r="AS10" t="inlineStr">
        <is>
          <t>-</t>
        </is>
      </c>
      <c r="AT10" t="n">
        <v>169.1291</v>
      </c>
      <c r="AU10" t="n">
        <v>24.3778</v>
      </c>
      <c r="AW10" t="n">
        <v>911.2709193256001</v>
      </c>
      <c r="AX10" t="inlineStr">
        <is>
          <t>-</t>
        </is>
      </c>
      <c r="AY10" t="n">
        <v>150.6457</v>
      </c>
      <c r="AZ10" t="n">
        <v>58.7884</v>
      </c>
      <c r="BB10" t="n">
        <v>1049.2645259058</v>
      </c>
      <c r="BC10" t="inlineStr">
        <is>
          <t>-</t>
        </is>
      </c>
      <c r="BD10" t="n">
        <v>133.6802</v>
      </c>
      <c r="BE10" t="n">
        <v>85.5177</v>
      </c>
      <c r="BG10" t="n">
        <v>1212.343202904</v>
      </c>
      <c r="BH10" t="inlineStr">
        <is>
          <t>-</t>
        </is>
      </c>
      <c r="BI10" t="n">
        <v>116.8869</v>
      </c>
      <c r="BJ10" t="n">
        <v>98.2004</v>
      </c>
      <c r="BL10" t="n">
        <v>1543.3295595</v>
      </c>
      <c r="BM10" t="inlineStr">
        <is>
          <t>-</t>
        </is>
      </c>
      <c r="BN10" t="n">
        <v>100.3143</v>
      </c>
      <c r="BO10" t="n">
        <v>98.0992</v>
      </c>
      <c r="BQ10" t="n">
        <v>1725.1670066</v>
      </c>
      <c r="BR10" t="inlineStr">
        <is>
          <t>-</t>
        </is>
      </c>
      <c r="BS10" t="n">
        <v>83.75660000000001</v>
      </c>
      <c r="BT10" t="n">
        <v>97.0158</v>
      </c>
      <c r="BV10" t="n">
        <v>2587.404073</v>
      </c>
      <c r="BW10" t="inlineStr">
        <is>
          <t>-</t>
        </is>
      </c>
      <c r="BX10" t="n">
        <v>98.06999999999999</v>
      </c>
      <c r="BY10" t="n">
        <v>92.09</v>
      </c>
      <c r="CA10" t="n">
        <v>3904.2</v>
      </c>
      <c r="CB10" t="inlineStr">
        <is>
          <t>-</t>
        </is>
      </c>
      <c r="CC10" t="n">
        <v>163.1</v>
      </c>
      <c r="CD10" t="n">
        <v>78.3</v>
      </c>
      <c r="CF10" t="n">
        <v>6335.5826</v>
      </c>
      <c r="CG10" t="n">
        <v>888.7029</v>
      </c>
      <c r="CH10" t="n">
        <v>223.4101</v>
      </c>
      <c r="CI10" t="n">
        <v>57.0388</v>
      </c>
      <c r="CK10" t="n">
        <v>15039.0281</v>
      </c>
      <c r="CL10" t="n">
        <v>912.6879</v>
      </c>
      <c r="CM10" t="n">
        <v>335.9978</v>
      </c>
      <c r="CN10" t="n">
        <v>33.8075</v>
      </c>
      <c r="CO10" t="inlineStr">
        <is>
          <t>-</t>
        </is>
      </c>
      <c r="CQ10" t="n">
        <v>38754.107734</v>
      </c>
      <c r="CR10" t="n">
        <v>924.687</v>
      </c>
      <c r="CS10" t="n">
        <v>615.889</v>
      </c>
      <c r="CT10" t="n">
        <v>14.0388</v>
      </c>
      <c r="CU10" t="inlineStr">
        <is>
          <t>-</t>
        </is>
      </c>
      <c r="CW10" t="n">
        <v>60431.68885500001</v>
      </c>
      <c r="CX10" t="n">
        <v>897.1038</v>
      </c>
      <c r="CY10" t="n">
        <v>707.4817</v>
      </c>
      <c r="CZ10" t="inlineStr">
        <is>
          <t>-</t>
        </is>
      </c>
      <c r="DA10" t="inlineStr">
        <is>
          <t>-</t>
        </is>
      </c>
      <c r="DC10" t="n">
        <v>65295.3</v>
      </c>
      <c r="DD10" t="n">
        <v>860.8</v>
      </c>
      <c r="DE10" t="n">
        <v>598</v>
      </c>
      <c r="DF10" t="inlineStr">
        <is>
          <t>-</t>
        </is>
      </c>
      <c r="DG10" t="inlineStr">
        <is>
          <t>-</t>
        </is>
      </c>
      <c r="DI10" t="n">
        <v>116200.7</v>
      </c>
      <c r="DJ10" t="n">
        <v>753.2</v>
      </c>
      <c r="DK10" t="n">
        <v>630</v>
      </c>
      <c r="DL10" t="inlineStr">
        <is>
          <t>-</t>
        </is>
      </c>
      <c r="DM10" t="inlineStr">
        <is>
          <t>-</t>
        </is>
      </c>
      <c r="DP10" t="n">
        <v>538038.4</v>
      </c>
      <c r="DQ10" t="n">
        <v>538</v>
      </c>
      <c r="DR10" t="n">
        <v>649</v>
      </c>
      <c r="DS10" t="inlineStr">
        <is>
          <t>-</t>
        </is>
      </c>
      <c r="DT10" t="inlineStr">
        <is>
          <t>-</t>
        </is>
      </c>
      <c r="DV10" t="n">
        <v>649432.9</v>
      </c>
      <c r="DW10" t="n">
        <v>322.8</v>
      </c>
      <c r="DX10" t="n">
        <v>616.7</v>
      </c>
      <c r="DY10" t="inlineStr">
        <is>
          <t>-</t>
        </is>
      </c>
      <c r="DZ10" t="inlineStr">
        <is>
          <t>-</t>
        </is>
      </c>
      <c r="EB10" t="n">
        <v>826206.7</v>
      </c>
      <c r="EC10" t="n">
        <v>107.6</v>
      </c>
      <c r="ED10" t="n">
        <v>558.2</v>
      </c>
      <c r="EE10" t="inlineStr">
        <is>
          <t>-</t>
        </is>
      </c>
      <c r="EF10" t="inlineStr">
        <is>
          <t>-</t>
        </is>
      </c>
    </row>
    <row r="11">
      <c r="A11" t="inlineStr">
        <is>
          <t>Garantías y/o avales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H11" t="n">
        <v>6.780516</v>
      </c>
      <c r="AI11" t="inlineStr">
        <is>
          <t>-</t>
        </is>
      </c>
      <c r="AJ11" t="inlineStr">
        <is>
          <t>-</t>
        </is>
      </c>
      <c r="AK11" t="n">
        <v>1.464</v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V11" t="n">
        <v>1712.5432</v>
      </c>
      <c r="BW11" t="inlineStr">
        <is>
          <t>-</t>
        </is>
      </c>
      <c r="BX11" t="n">
        <v>131.33</v>
      </c>
      <c r="BY11" t="inlineStr">
        <is>
          <t>-</t>
        </is>
      </c>
      <c r="CA11" t="n">
        <v>2060.8</v>
      </c>
      <c r="CB11" t="n">
        <v>129.7</v>
      </c>
      <c r="CC11" t="inlineStr">
        <is>
          <t>-</t>
        </is>
      </c>
      <c r="CD11" t="inlineStr">
        <is>
          <t>-</t>
        </is>
      </c>
      <c r="CF11" t="n">
        <v>3943.685381</v>
      </c>
      <c r="CG11" t="inlineStr">
        <is>
          <t>-</t>
        </is>
      </c>
      <c r="CH11" t="n">
        <v>211.469</v>
      </c>
      <c r="CI11" t="inlineStr">
        <is>
          <t>-</t>
        </is>
      </c>
      <c r="CK11" t="n">
        <v>7987.725200000001</v>
      </c>
      <c r="CL11" t="inlineStr">
        <is>
          <t>-</t>
        </is>
      </c>
      <c r="CM11" t="n">
        <v>211.876</v>
      </c>
      <c r="CN11" t="inlineStr">
        <is>
          <t>-</t>
        </is>
      </c>
      <c r="CO11" t="inlineStr">
        <is>
          <t>-</t>
        </is>
      </c>
      <c r="CQ11" t="n">
        <v>11654.659879</v>
      </c>
      <c r="CR11" t="inlineStr">
        <is>
          <t>-</t>
        </is>
      </c>
      <c r="CS11" t="n">
        <v>194.6011</v>
      </c>
      <c r="CT11" t="inlineStr">
        <is>
          <t>-</t>
        </is>
      </c>
      <c r="CU11" t="inlineStr">
        <is>
          <t>-</t>
        </is>
      </c>
      <c r="CW11" t="n">
        <v>15039.67509</v>
      </c>
      <c r="CX11" t="inlineStr">
        <is>
          <t>-</t>
        </is>
      </c>
      <c r="CY11" t="n">
        <v>178.7246</v>
      </c>
      <c r="CZ11" t="inlineStr">
        <is>
          <t>-</t>
        </is>
      </c>
      <c r="DA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</row>
    <row r="12">
      <c r="A12" t="inlineStr">
        <is>
          <t>Acuerdo OSPLAD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G12" t="n">
        <v>107.2273</v>
      </c>
      <c r="BH12" t="n">
        <v>107.2273</v>
      </c>
      <c r="BI12" t="inlineStr">
        <is>
          <t>-</t>
        </is>
      </c>
      <c r="BJ12" t="inlineStr">
        <is>
          <t>-</t>
        </is>
      </c>
      <c r="BL12" t="n">
        <v>50.4245</v>
      </c>
      <c r="BM12" t="n">
        <v>50.4245</v>
      </c>
      <c r="BN12" t="inlineStr">
        <is>
          <t>-</t>
        </is>
      </c>
      <c r="BO12" t="inlineStr">
        <is>
          <t>-</t>
        </is>
      </c>
      <c r="BQ12" t="n">
        <v>15.721</v>
      </c>
      <c r="BR12" t="n">
        <v>15.721</v>
      </c>
      <c r="BS12" t="inlineStr">
        <is>
          <t>-</t>
        </is>
      </c>
      <c r="BT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</row>
    <row r="13">
      <c r="A13" t="inlineStr">
        <is>
          <t>Préstamo ANSES - Ley 5603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CA13" t="n">
        <v>1960.35</v>
      </c>
      <c r="CB13" t="n">
        <v>1960.35</v>
      </c>
      <c r="CC13" t="inlineStr">
        <is>
          <t>-</t>
        </is>
      </c>
      <c r="CD13" t="inlineStr">
        <is>
          <t>-</t>
        </is>
      </c>
      <c r="CF13" t="n">
        <v>3284.1278</v>
      </c>
      <c r="CG13" t="n">
        <v>3284.1278</v>
      </c>
      <c r="CH13" t="inlineStr">
        <is>
          <t>-</t>
        </is>
      </c>
      <c r="CI13" t="inlineStr">
        <is>
          <t>-</t>
        </is>
      </c>
      <c r="CK13" t="n">
        <v>4879.626</v>
      </c>
      <c r="CL13" t="n">
        <v>4879.626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Q13" t="n">
        <v>7766.6479</v>
      </c>
      <c r="CR13" t="n">
        <v>7766.6479</v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W13" t="n">
        <v>7939.8011</v>
      </c>
      <c r="CX13" t="n">
        <v>7939.8011</v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C13" t="n">
        <v>7608.2</v>
      </c>
      <c r="DD13" t="n">
        <v>7608.2</v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I13" t="n">
        <v>2733.9</v>
      </c>
      <c r="DJ13" t="n">
        <v>2733.9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</row>
    <row r="14">
      <c r="A14" t="inlineStr">
        <is>
          <t>1 Incluye los montos en moneda extranjera y valores Uva convertidos a pesos, cuyo tipo de cambio al 31 de diciembre de 2025 fue $ 1480 para dólares.</t>
        </is>
      </c>
    </row>
    <row r="15">
      <c r="A15" t="inlineStr">
        <is>
          <t xml:space="preserve">Nota: al 31 de diciembre de cada año. A partir de 2008 en el concepto proveedores se incluye los montos reclamados por proveedores y contratistas en el marco de los Decretos N° 225/GCBA/1996 y N° 1480/GCBA/1997, por los cuales se implementó la determinación de la legitimidad y existencia de la deuda pública de la ex-Municipalidad de la Ciudad de Buenos Aires, excepto para el año provisorio. La diferencia en los datos publicados anteriormente se debe a ajuste de información provenientes de las Cuentas de Inversión. La suma de las cifras parciales difiere del total por procedimientos de redondeo. </t>
        </is>
      </c>
    </row>
    <row r="16">
      <c r="A16" t="inlineStr">
        <is>
          <t>Fuente: Instituto de Estadística y Censos de la Ciudad Autónoma de Buenos Aires (Jefatura de Gabinete de Ministros - GCBA)  sobre la base de datos del Ministerio de Hacienda y Finanzas GCBA. Dirección General de Crédito Público.</t>
        </is>
      </c>
      <c r="DN16">
        <f>SUM(DN7:DN10)</f>
        <v/>
      </c>
    </row>
    <row r="17"/>
    <row r="18"/>
    <row r="19"/>
    <row r="20"/>
    <row r="21"/>
    <row r="22"/>
    <row r="23"/>
    <row r="24"/>
    <row r="25"/>
    <row r="26"/>
    <row r="27"/>
    <row r="2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Títulos públicos emitidos por el  Gobierno de la Ciudad de Buenos Aires. Años  2010/2025</t>
        </is>
      </c>
    </row>
    <row r="2">
      <c r="A2" t="inlineStr">
        <is>
          <t>Títulos públicos</t>
        </is>
      </c>
      <c r="B2" t="inlineStr">
        <is>
          <t>2010</t>
        </is>
      </c>
      <c r="E2" t="n">
        <v>2011</v>
      </c>
      <c r="H2" t="n">
        <v>2012</v>
      </c>
      <c r="K2" t="n">
        <v>2013</v>
      </c>
      <c r="N2" t="n">
        <v>2014</v>
      </c>
      <c r="Q2" t="n">
        <v>2015</v>
      </c>
      <c r="T2" t="n">
        <v>2016</v>
      </c>
      <c r="W2" t="n">
        <v>2017</v>
      </c>
      <c r="Z2" t="n">
        <v>2018</v>
      </c>
      <c r="AC2" t="n">
        <v>2019</v>
      </c>
      <c r="AF2" t="n">
        <v>2020</v>
      </c>
      <c r="AI2" t="n">
        <v>2021</v>
      </c>
      <c r="AL2" t="n">
        <v>2022</v>
      </c>
      <c r="AO2" t="n">
        <v>2023</v>
      </c>
      <c r="AR2" t="n">
        <v>2024</v>
      </c>
      <c r="AU2" t="inlineStr">
        <is>
          <t>2025*</t>
        </is>
      </c>
    </row>
    <row r="3">
      <c r="B3" t="inlineStr">
        <is>
          <t>Millones de pesos</t>
        </is>
      </c>
      <c r="C3" t="inlineStr">
        <is>
          <t>Millones de dólares</t>
        </is>
      </c>
      <c r="E3" t="inlineStr">
        <is>
          <t>Millones de pesos</t>
        </is>
      </c>
      <c r="F3" t="inlineStr">
        <is>
          <t>Millones de dólares</t>
        </is>
      </c>
      <c r="H3" t="inlineStr">
        <is>
          <t>Millones de pesos</t>
        </is>
      </c>
      <c r="I3" t="inlineStr">
        <is>
          <t>Millones de dólares</t>
        </is>
      </c>
      <c r="K3" t="inlineStr">
        <is>
          <t>Millones de pesos</t>
        </is>
      </c>
      <c r="L3" t="inlineStr">
        <is>
          <t>Millones de dólares</t>
        </is>
      </c>
      <c r="N3" t="inlineStr">
        <is>
          <t>Millones de pesos</t>
        </is>
      </c>
      <c r="O3" t="inlineStr">
        <is>
          <t>Millones de dólares</t>
        </is>
      </c>
      <c r="Q3" t="inlineStr">
        <is>
          <t>Millones de pesos</t>
        </is>
      </c>
      <c r="R3" t="inlineStr">
        <is>
          <t>Millones de dólares</t>
        </is>
      </c>
      <c r="T3" t="inlineStr">
        <is>
          <t>Millones de pesos</t>
        </is>
      </c>
      <c r="U3" t="inlineStr">
        <is>
          <t>Millones de dólares</t>
        </is>
      </c>
      <c r="W3" t="inlineStr">
        <is>
          <t>Millones de pesos</t>
        </is>
      </c>
      <c r="X3" t="inlineStr">
        <is>
          <t>Millones de dólares</t>
        </is>
      </c>
      <c r="Z3" t="inlineStr">
        <is>
          <t>Millones de pesos</t>
        </is>
      </c>
      <c r="AA3" t="inlineStr">
        <is>
          <t>Millones de dólares</t>
        </is>
      </c>
      <c r="AC3" t="inlineStr">
        <is>
          <t>Millones de pesos</t>
        </is>
      </c>
      <c r="AD3" t="inlineStr">
        <is>
          <t>Millones de dólares</t>
        </is>
      </c>
      <c r="AF3" t="inlineStr">
        <is>
          <t>Millones de pesos</t>
        </is>
      </c>
      <c r="AG3" t="inlineStr">
        <is>
          <t>Millones de dólares</t>
        </is>
      </c>
      <c r="AI3" t="inlineStr">
        <is>
          <t>Millones de pesos</t>
        </is>
      </c>
      <c r="AJ3" t="inlineStr">
        <is>
          <t>Millones de dólares</t>
        </is>
      </c>
      <c r="AL3" t="inlineStr">
        <is>
          <t>Millones de pesos</t>
        </is>
      </c>
      <c r="AM3" t="inlineStr">
        <is>
          <t>Millones de dólares</t>
        </is>
      </c>
      <c r="AO3" t="inlineStr">
        <is>
          <t>Millones de pesos</t>
        </is>
      </c>
      <c r="AP3" t="inlineStr">
        <is>
          <t>Millones de dólares</t>
        </is>
      </c>
      <c r="AR3" t="inlineStr">
        <is>
          <t>Millones de pesos</t>
        </is>
      </c>
      <c r="AS3" t="inlineStr">
        <is>
          <t>Millones de dólares</t>
        </is>
      </c>
      <c r="AU3" t="inlineStr">
        <is>
          <t>Millones de pesos</t>
        </is>
      </c>
      <c r="AV3" t="inlineStr">
        <is>
          <t>Millones de dólares</t>
        </is>
      </c>
    </row>
    <row r="4">
      <c r="A4" t="inlineStr">
        <is>
          <t>Total</t>
        </is>
      </c>
      <c r="B4" t="n">
        <v>540.58554</v>
      </c>
      <c r="C4" t="n">
        <v>624.6375</v>
      </c>
      <c r="E4" t="n">
        <v>2.5351</v>
      </c>
      <c r="F4" t="n">
        <v>617.4664</v>
      </c>
      <c r="H4" t="n">
        <v>195.5673</v>
      </c>
      <c r="I4" t="n">
        <v>1133.573</v>
      </c>
      <c r="K4" t="n">
        <v>101.9539</v>
      </c>
      <c r="L4" t="n">
        <v>1549.606</v>
      </c>
      <c r="N4" t="n">
        <v>374.362</v>
      </c>
      <c r="O4" t="n">
        <v>1850.554</v>
      </c>
      <c r="Q4" t="n">
        <v>1216.06</v>
      </c>
      <c r="R4" t="n">
        <v>1915.28</v>
      </c>
      <c r="T4" t="n">
        <v>4395.238</v>
      </c>
      <c r="U4" t="n">
        <v>2204.8482</v>
      </c>
      <c r="W4" t="n">
        <v>22259.2661</v>
      </c>
      <c r="X4" t="n">
        <v>1608.5596</v>
      </c>
      <c r="Z4" t="n">
        <v>28304.3623</v>
      </c>
      <c r="AA4" t="n">
        <v>1466.7623</v>
      </c>
      <c r="AC4" t="n">
        <v>47782.9616</v>
      </c>
      <c r="AD4" t="n">
        <v>1253.3728</v>
      </c>
      <c r="AF4" t="n">
        <v>87988.18490000001</v>
      </c>
      <c r="AG4" t="n">
        <v>1071.4536</v>
      </c>
      <c r="AI4" t="n">
        <v>100093.9</v>
      </c>
      <c r="AJ4" t="n">
        <v>890</v>
      </c>
      <c r="AL4" t="n">
        <v>76636.10000000001</v>
      </c>
      <c r="AM4" t="n">
        <v>890</v>
      </c>
      <c r="AO4" t="n">
        <v>61687.5</v>
      </c>
      <c r="AP4" t="n">
        <v>890</v>
      </c>
      <c r="AR4" t="n">
        <v>35684.2</v>
      </c>
      <c r="AS4" t="n">
        <v>890</v>
      </c>
      <c r="AU4" t="n">
        <v>35279</v>
      </c>
      <c r="AV4" t="n">
        <v>1193.4</v>
      </c>
    </row>
    <row r="5">
      <c r="A5" t="inlineStr">
        <is>
          <t>Bono Tango</t>
        </is>
      </c>
      <c r="B5" t="n">
        <v>7.5798</v>
      </c>
      <c r="C5" t="n">
        <v>624.6375</v>
      </c>
      <c r="E5" t="n">
        <v>2.5351</v>
      </c>
      <c r="F5" t="n">
        <v>617.4664</v>
      </c>
      <c r="H5" t="inlineStr">
        <is>
          <t xml:space="preserve"> -</t>
        </is>
      </c>
      <c r="I5" t="n">
        <v>1133.573</v>
      </c>
      <c r="K5" t="inlineStr">
        <is>
          <t xml:space="preserve"> -</t>
        </is>
      </c>
      <c r="L5" t="n">
        <v>932.7118</v>
      </c>
      <c r="N5" t="inlineStr">
        <is>
          <t xml:space="preserve"> -</t>
        </is>
      </c>
      <c r="O5" t="n">
        <v>918.3425</v>
      </c>
      <c r="Q5" t="inlineStr">
        <is>
          <t xml:space="preserve"> -</t>
        </is>
      </c>
      <c r="R5" t="n">
        <v>945.77</v>
      </c>
      <c r="T5" t="inlineStr">
        <is>
          <t xml:space="preserve"> -</t>
        </is>
      </c>
      <c r="U5" t="n">
        <v>1593.7082</v>
      </c>
      <c r="W5" t="inlineStr">
        <is>
          <t xml:space="preserve"> -</t>
        </is>
      </c>
      <c r="X5" t="n">
        <v>1412.5292</v>
      </c>
      <c r="Z5" t="inlineStr">
        <is>
          <t xml:space="preserve"> -</t>
        </is>
      </c>
      <c r="AA5" t="n">
        <v>1412.5292</v>
      </c>
      <c r="AC5" t="inlineStr">
        <is>
          <t>-</t>
        </is>
      </c>
      <c r="AD5" t="n">
        <v>1241.9914</v>
      </c>
      <c r="AF5" t="inlineStr">
        <is>
          <t>-</t>
        </is>
      </c>
      <c r="AG5" t="n">
        <v>1071.4536</v>
      </c>
      <c r="AI5" t="inlineStr">
        <is>
          <t>-</t>
        </is>
      </c>
      <c r="AJ5" t="n">
        <v>890</v>
      </c>
      <c r="AL5" t="inlineStr">
        <is>
          <t>-</t>
        </is>
      </c>
      <c r="AM5" t="n">
        <v>890</v>
      </c>
      <c r="AO5" t="inlineStr">
        <is>
          <t>-</t>
        </is>
      </c>
      <c r="AP5" t="n">
        <v>890</v>
      </c>
      <c r="AR5" t="inlineStr">
        <is>
          <t>-</t>
        </is>
      </c>
      <c r="AS5" t="n">
        <v>890</v>
      </c>
      <c r="AU5" t="inlineStr">
        <is>
          <t>-</t>
        </is>
      </c>
      <c r="AV5" t="n">
        <v>1193.4</v>
      </c>
    </row>
    <row r="6">
      <c r="A6" t="inlineStr">
        <is>
          <t>Certificado Cancelación de deuda - Ley 2810</t>
        </is>
      </c>
      <c r="B6" t="n">
        <v>116.74024</v>
      </c>
      <c r="C6" t="inlineStr">
        <is>
          <t xml:space="preserve"> -</t>
        </is>
      </c>
      <c r="E6" t="inlineStr">
        <is>
          <t xml:space="preserve"> -</t>
        </is>
      </c>
      <c r="F6" t="inlineStr">
        <is>
          <t xml:space="preserve"> -</t>
        </is>
      </c>
      <c r="H6" t="inlineStr">
        <is>
          <t xml:space="preserve"> -</t>
        </is>
      </c>
      <c r="I6" t="inlineStr">
        <is>
          <t xml:space="preserve"> -</t>
        </is>
      </c>
      <c r="K6" t="inlineStr">
        <is>
          <t xml:space="preserve"> -</t>
        </is>
      </c>
      <c r="L6" t="inlineStr">
        <is>
          <t xml:space="preserve"> -</t>
        </is>
      </c>
      <c r="N6" t="inlineStr">
        <is>
          <t xml:space="preserve"> -</t>
        </is>
      </c>
      <c r="O6" t="inlineStr">
        <is>
          <t xml:space="preserve"> -</t>
        </is>
      </c>
      <c r="Q6" t="inlineStr">
        <is>
          <t xml:space="preserve"> -</t>
        </is>
      </c>
      <c r="R6" t="inlineStr">
        <is>
          <t xml:space="preserve"> -</t>
        </is>
      </c>
      <c r="T6" t="inlineStr">
        <is>
          <t xml:space="preserve"> -</t>
        </is>
      </c>
      <c r="U6" t="inlineStr">
        <is>
          <t xml:space="preserve"> -</t>
        </is>
      </c>
      <c r="W6" t="inlineStr">
        <is>
          <t xml:space="preserve"> -</t>
        </is>
      </c>
      <c r="X6" t="inlineStr">
        <is>
          <t xml:space="preserve"> -</t>
        </is>
      </c>
      <c r="Z6" t="inlineStr">
        <is>
          <t xml:space="preserve"> -</t>
        </is>
      </c>
      <c r="AA6" t="inlineStr">
        <is>
          <t xml:space="preserve"> -</t>
        </is>
      </c>
      <c r="AC6" t="inlineStr">
        <is>
          <t xml:space="preserve"> -</t>
        </is>
      </c>
      <c r="AD6" t="inlineStr">
        <is>
          <t xml:space="preserve"> -</t>
        </is>
      </c>
      <c r="AF6" t="inlineStr">
        <is>
          <t xml:space="preserve"> -</t>
        </is>
      </c>
      <c r="AG6" t="inlineStr">
        <is>
          <t xml:space="preserve"> -</t>
        </is>
      </c>
      <c r="AI6" t="inlineStr">
        <is>
          <t>-</t>
        </is>
      </c>
      <c r="AJ6" t="inlineStr">
        <is>
          <t>-</t>
        </is>
      </c>
      <c r="AL6" t="inlineStr">
        <is>
          <t>-</t>
        </is>
      </c>
      <c r="AM6" t="inlineStr">
        <is>
          <t>-</t>
        </is>
      </c>
      <c r="AO6" t="inlineStr">
        <is>
          <t>-</t>
        </is>
      </c>
      <c r="AP6" t="inlineStr">
        <is>
          <t>-</t>
        </is>
      </c>
      <c r="AR6" t="inlineStr">
        <is>
          <t>-</t>
        </is>
      </c>
      <c r="AS6" t="inlineStr">
        <is>
          <t>-</t>
        </is>
      </c>
      <c r="AU6" t="inlineStr">
        <is>
          <t>-</t>
        </is>
      </c>
      <c r="AV6" t="inlineStr">
        <is>
          <t>-</t>
        </is>
      </c>
    </row>
    <row r="7">
      <c r="A7" t="inlineStr">
        <is>
          <t>Bono Ley 3152 art. 1</t>
        </is>
      </c>
      <c r="B7" t="n">
        <v>416.2655</v>
      </c>
      <c r="C7" t="inlineStr">
        <is>
          <t xml:space="preserve"> -</t>
        </is>
      </c>
      <c r="E7" t="inlineStr">
        <is>
          <t xml:space="preserve"> -</t>
        </is>
      </c>
      <c r="F7" t="inlineStr">
        <is>
          <t xml:space="preserve"> -</t>
        </is>
      </c>
      <c r="H7" t="inlineStr">
        <is>
          <t xml:space="preserve"> -</t>
        </is>
      </c>
      <c r="I7" t="inlineStr">
        <is>
          <t xml:space="preserve"> -</t>
        </is>
      </c>
      <c r="K7" t="inlineStr">
        <is>
          <t xml:space="preserve"> -</t>
        </is>
      </c>
      <c r="L7" t="inlineStr">
        <is>
          <t xml:space="preserve"> -</t>
        </is>
      </c>
      <c r="N7" t="inlineStr">
        <is>
          <t xml:space="preserve"> -</t>
        </is>
      </c>
      <c r="O7" t="inlineStr">
        <is>
          <t xml:space="preserve"> -</t>
        </is>
      </c>
      <c r="Q7" t="inlineStr">
        <is>
          <t xml:space="preserve"> -</t>
        </is>
      </c>
      <c r="R7" t="inlineStr">
        <is>
          <t xml:space="preserve"> -</t>
        </is>
      </c>
      <c r="T7" t="inlineStr">
        <is>
          <t xml:space="preserve"> -</t>
        </is>
      </c>
      <c r="U7" t="inlineStr">
        <is>
          <t xml:space="preserve"> -</t>
        </is>
      </c>
      <c r="W7" t="inlineStr">
        <is>
          <t xml:space="preserve"> -</t>
        </is>
      </c>
      <c r="X7" t="inlineStr">
        <is>
          <t xml:space="preserve"> -</t>
        </is>
      </c>
      <c r="Z7" t="inlineStr">
        <is>
          <t xml:space="preserve"> -</t>
        </is>
      </c>
      <c r="AA7" t="inlineStr">
        <is>
          <t xml:space="preserve"> -</t>
        </is>
      </c>
      <c r="AC7" t="inlineStr">
        <is>
          <t xml:space="preserve"> -</t>
        </is>
      </c>
      <c r="AD7" t="inlineStr">
        <is>
          <t xml:space="preserve"> -</t>
        </is>
      </c>
      <c r="AF7" t="inlineStr">
        <is>
          <t xml:space="preserve"> -</t>
        </is>
      </c>
      <c r="AG7" t="inlineStr">
        <is>
          <t xml:space="preserve"> -</t>
        </is>
      </c>
      <c r="AI7" t="inlineStr">
        <is>
          <t>-</t>
        </is>
      </c>
      <c r="AJ7" t="inlineStr">
        <is>
          <t>-</t>
        </is>
      </c>
      <c r="AL7" t="inlineStr">
        <is>
          <t>-</t>
        </is>
      </c>
      <c r="AM7" t="inlineStr">
        <is>
          <t>-</t>
        </is>
      </c>
      <c r="AO7" t="inlineStr">
        <is>
          <t>-</t>
        </is>
      </c>
      <c r="AP7" t="inlineStr">
        <is>
          <t>-</t>
        </is>
      </c>
      <c r="AR7" t="inlineStr">
        <is>
          <t>-</t>
        </is>
      </c>
      <c r="AS7" t="inlineStr">
        <is>
          <t>-</t>
        </is>
      </c>
      <c r="AU7" t="inlineStr">
        <is>
          <t>-</t>
        </is>
      </c>
      <c r="AV7" t="inlineStr">
        <is>
          <t>-</t>
        </is>
      </c>
    </row>
    <row r="8">
      <c r="A8" t="inlineStr">
        <is>
          <t>Bono Ley 4263</t>
        </is>
      </c>
      <c r="B8" t="inlineStr">
        <is>
          <t xml:space="preserve"> -</t>
        </is>
      </c>
      <c r="C8" t="inlineStr">
        <is>
          <t xml:space="preserve"> -</t>
        </is>
      </c>
      <c r="E8" t="inlineStr">
        <is>
          <t xml:space="preserve"> -</t>
        </is>
      </c>
      <c r="F8" t="inlineStr">
        <is>
          <t xml:space="preserve"> -</t>
        </is>
      </c>
      <c r="H8" t="n">
        <v>195.5673</v>
      </c>
      <c r="I8" t="inlineStr">
        <is>
          <t xml:space="preserve"> -</t>
        </is>
      </c>
      <c r="K8" t="n">
        <v>101.9539</v>
      </c>
      <c r="L8" t="inlineStr">
        <is>
          <t xml:space="preserve"> -</t>
        </is>
      </c>
      <c r="N8" t="inlineStr">
        <is>
          <t xml:space="preserve"> -</t>
        </is>
      </c>
      <c r="O8" t="inlineStr">
        <is>
          <t xml:space="preserve"> -</t>
        </is>
      </c>
      <c r="Q8" t="inlineStr">
        <is>
          <t xml:space="preserve"> -</t>
        </is>
      </c>
      <c r="R8" t="inlineStr">
        <is>
          <t xml:space="preserve"> -</t>
        </is>
      </c>
      <c r="T8" t="inlineStr">
        <is>
          <t xml:space="preserve"> -</t>
        </is>
      </c>
      <c r="U8" t="inlineStr">
        <is>
          <t xml:space="preserve"> -</t>
        </is>
      </c>
      <c r="W8" t="inlineStr">
        <is>
          <t xml:space="preserve"> -</t>
        </is>
      </c>
      <c r="X8" t="inlineStr">
        <is>
          <t xml:space="preserve"> -</t>
        </is>
      </c>
      <c r="Z8" t="inlineStr">
        <is>
          <t xml:space="preserve"> -</t>
        </is>
      </c>
      <c r="AA8" t="inlineStr">
        <is>
          <t xml:space="preserve"> -</t>
        </is>
      </c>
      <c r="AC8" t="inlineStr">
        <is>
          <t xml:space="preserve"> -</t>
        </is>
      </c>
      <c r="AD8" t="inlineStr">
        <is>
          <t xml:space="preserve"> -</t>
        </is>
      </c>
      <c r="AF8" t="inlineStr">
        <is>
          <t xml:space="preserve"> -</t>
        </is>
      </c>
      <c r="AG8" t="inlineStr">
        <is>
          <t xml:space="preserve"> -</t>
        </is>
      </c>
      <c r="AI8" t="inlineStr">
        <is>
          <t>-</t>
        </is>
      </c>
      <c r="AJ8" t="inlineStr">
        <is>
          <t>-</t>
        </is>
      </c>
      <c r="AL8" t="inlineStr">
        <is>
          <t>-</t>
        </is>
      </c>
      <c r="AM8" t="inlineStr">
        <is>
          <t>-</t>
        </is>
      </c>
      <c r="AO8" t="inlineStr">
        <is>
          <t>-</t>
        </is>
      </c>
      <c r="AP8" t="inlineStr">
        <is>
          <t>-</t>
        </is>
      </c>
      <c r="AR8" t="inlineStr">
        <is>
          <t>-</t>
        </is>
      </c>
      <c r="AS8" t="inlineStr">
        <is>
          <t>-</t>
        </is>
      </c>
      <c r="AU8" t="inlineStr">
        <is>
          <t>-</t>
        </is>
      </c>
      <c r="AV8" t="inlineStr">
        <is>
          <t>-</t>
        </is>
      </c>
    </row>
    <row r="9">
      <c r="A9" t="inlineStr">
        <is>
          <t xml:space="preserve">Bono Ley 5236 </t>
        </is>
      </c>
      <c r="B9" t="inlineStr">
        <is>
          <t xml:space="preserve"> -</t>
        </is>
      </c>
      <c r="C9" t="inlineStr">
        <is>
          <t xml:space="preserve"> -</t>
        </is>
      </c>
      <c r="E9" t="inlineStr">
        <is>
          <t xml:space="preserve"> -</t>
        </is>
      </c>
      <c r="F9" t="inlineStr">
        <is>
          <t xml:space="preserve"> -</t>
        </is>
      </c>
      <c r="G9" t="inlineStr">
        <is>
          <t xml:space="preserve"> -</t>
        </is>
      </c>
      <c r="H9" t="inlineStr">
        <is>
          <t xml:space="preserve"> -</t>
        </is>
      </c>
      <c r="I9" t="inlineStr">
        <is>
          <t xml:space="preserve"> -</t>
        </is>
      </c>
      <c r="J9" t="inlineStr">
        <is>
          <t xml:space="preserve"> -</t>
        </is>
      </c>
      <c r="K9" t="inlineStr">
        <is>
          <t xml:space="preserve"> -</t>
        </is>
      </c>
      <c r="L9" t="inlineStr">
        <is>
          <t xml:space="preserve"> -</t>
        </is>
      </c>
      <c r="N9" t="inlineStr">
        <is>
          <t xml:space="preserve"> -</t>
        </is>
      </c>
      <c r="O9" t="inlineStr">
        <is>
          <t xml:space="preserve"> -</t>
        </is>
      </c>
      <c r="Q9" t="inlineStr">
        <is>
          <t xml:space="preserve"> -</t>
        </is>
      </c>
      <c r="R9" t="inlineStr">
        <is>
          <t xml:space="preserve"> -</t>
        </is>
      </c>
      <c r="T9" t="n">
        <v>1014.5361</v>
      </c>
      <c r="U9" t="inlineStr">
        <is>
          <t xml:space="preserve"> -</t>
        </is>
      </c>
      <c r="W9" t="n">
        <v>344.8762</v>
      </c>
      <c r="X9" t="inlineStr">
        <is>
          <t>-</t>
        </is>
      </c>
      <c r="Z9" t="inlineStr">
        <is>
          <t xml:space="preserve"> -</t>
        </is>
      </c>
      <c r="AA9" t="inlineStr">
        <is>
          <t xml:space="preserve"> -</t>
        </is>
      </c>
      <c r="AC9" t="inlineStr">
        <is>
          <t xml:space="preserve"> -</t>
        </is>
      </c>
      <c r="AD9" t="inlineStr">
        <is>
          <t xml:space="preserve"> -</t>
        </is>
      </c>
      <c r="AF9" t="inlineStr">
        <is>
          <t xml:space="preserve"> -</t>
        </is>
      </c>
      <c r="AG9" t="inlineStr">
        <is>
          <t xml:space="preserve"> -</t>
        </is>
      </c>
      <c r="AI9" t="inlineStr">
        <is>
          <t>-</t>
        </is>
      </c>
      <c r="AJ9" t="inlineStr">
        <is>
          <t>-</t>
        </is>
      </c>
      <c r="AL9" t="inlineStr">
        <is>
          <t>-</t>
        </is>
      </c>
      <c r="AM9" t="inlineStr">
        <is>
          <t>-</t>
        </is>
      </c>
      <c r="AO9" t="inlineStr">
        <is>
          <t>-</t>
        </is>
      </c>
      <c r="AP9" t="inlineStr">
        <is>
          <t>-</t>
        </is>
      </c>
      <c r="AR9" t="inlineStr">
        <is>
          <t>-</t>
        </is>
      </c>
      <c r="AS9" t="inlineStr">
        <is>
          <t>-</t>
        </is>
      </c>
      <c r="AU9" t="inlineStr">
        <is>
          <t>-</t>
        </is>
      </c>
      <c r="AV9" t="inlineStr">
        <is>
          <t>-</t>
        </is>
      </c>
    </row>
    <row r="10">
      <c r="A10" t="inlineStr">
        <is>
          <t>Bono Ley 6282 y Ley 6300</t>
        </is>
      </c>
      <c r="B10" t="inlineStr">
        <is>
          <t xml:space="preserve"> -</t>
        </is>
      </c>
      <c r="C10" t="inlineStr">
        <is>
          <t xml:space="preserve"> -</t>
        </is>
      </c>
      <c r="E10" t="inlineStr">
        <is>
          <t xml:space="preserve"> -</t>
        </is>
      </c>
      <c r="F10" t="inlineStr">
        <is>
          <t xml:space="preserve"> -</t>
        </is>
      </c>
      <c r="H10" t="inlineStr">
        <is>
          <t xml:space="preserve"> -</t>
        </is>
      </c>
      <c r="I10" t="inlineStr">
        <is>
          <t xml:space="preserve"> -</t>
        </is>
      </c>
      <c r="K10" t="inlineStr">
        <is>
          <t xml:space="preserve"> -</t>
        </is>
      </c>
      <c r="L10" t="inlineStr">
        <is>
          <t xml:space="preserve"> -</t>
        </is>
      </c>
      <c r="N10" t="inlineStr">
        <is>
          <t xml:space="preserve"> -</t>
        </is>
      </c>
      <c r="O10" t="inlineStr">
        <is>
          <t xml:space="preserve"> -</t>
        </is>
      </c>
      <c r="Q10" t="inlineStr">
        <is>
          <t xml:space="preserve"> -</t>
        </is>
      </c>
      <c r="R10" t="inlineStr">
        <is>
          <t xml:space="preserve"> -</t>
        </is>
      </c>
      <c r="T10" t="inlineStr">
        <is>
          <t xml:space="preserve"> -</t>
        </is>
      </c>
      <c r="U10" t="inlineStr">
        <is>
          <t xml:space="preserve"> -</t>
        </is>
      </c>
      <c r="W10" t="inlineStr">
        <is>
          <t xml:space="preserve"> -</t>
        </is>
      </c>
      <c r="X10" t="inlineStr">
        <is>
          <t xml:space="preserve"> -</t>
        </is>
      </c>
      <c r="Z10" t="inlineStr">
        <is>
          <t xml:space="preserve"> -</t>
        </is>
      </c>
      <c r="AA10" t="inlineStr">
        <is>
          <t xml:space="preserve"> -</t>
        </is>
      </c>
      <c r="AC10" t="inlineStr">
        <is>
          <t xml:space="preserve"> -</t>
        </is>
      </c>
      <c r="AD10" t="inlineStr">
        <is>
          <t xml:space="preserve"> -</t>
        </is>
      </c>
      <c r="AF10" t="n">
        <v>19092.5172</v>
      </c>
      <c r="AG10" t="inlineStr">
        <is>
          <t>-</t>
        </is>
      </c>
      <c r="AI10" t="n">
        <v>6105.1</v>
      </c>
      <c r="AJ10" t="inlineStr">
        <is>
          <t>-</t>
        </is>
      </c>
      <c r="AL10" t="inlineStr">
        <is>
          <t>-</t>
        </is>
      </c>
      <c r="AM10" t="inlineStr">
        <is>
          <t>-</t>
        </is>
      </c>
      <c r="AO10" t="inlineStr">
        <is>
          <t>-</t>
        </is>
      </c>
      <c r="AP10" t="inlineStr">
        <is>
          <t>-</t>
        </is>
      </c>
      <c r="AR10" t="inlineStr">
        <is>
          <t>-</t>
        </is>
      </c>
      <c r="AS10" t="inlineStr">
        <is>
          <t>-</t>
        </is>
      </c>
      <c r="AU10" t="inlineStr">
        <is>
          <t>-</t>
        </is>
      </c>
      <c r="AV10" t="inlineStr">
        <is>
          <t>-</t>
        </is>
      </c>
    </row>
    <row r="11">
      <c r="A11" t="inlineStr">
        <is>
          <t>Bono Ley 6385</t>
        </is>
      </c>
      <c r="B11" t="inlineStr">
        <is>
          <t>-</t>
        </is>
      </c>
      <c r="C11" t="inlineStr">
        <is>
          <t>-</t>
        </is>
      </c>
      <c r="E11" t="inlineStr">
        <is>
          <t>-</t>
        </is>
      </c>
      <c r="F11" t="inlineStr">
        <is>
          <t>-</t>
        </is>
      </c>
      <c r="H11" t="inlineStr">
        <is>
          <t>-</t>
        </is>
      </c>
      <c r="I11" t="inlineStr">
        <is>
          <t>-</t>
        </is>
      </c>
      <c r="K11" t="inlineStr">
        <is>
          <t>-</t>
        </is>
      </c>
      <c r="L11" t="inlineStr">
        <is>
          <t>-</t>
        </is>
      </c>
      <c r="N11" t="inlineStr">
        <is>
          <t>-</t>
        </is>
      </c>
      <c r="O11" t="inlineStr">
        <is>
          <t>-</t>
        </is>
      </c>
      <c r="Q11" t="inlineStr">
        <is>
          <t>-</t>
        </is>
      </c>
      <c r="R11" t="inlineStr">
        <is>
          <t>-</t>
        </is>
      </c>
      <c r="T11" t="inlineStr">
        <is>
          <t>-</t>
        </is>
      </c>
      <c r="U11" t="inlineStr">
        <is>
          <t>-</t>
        </is>
      </c>
      <c r="W11" t="inlineStr">
        <is>
          <t>-</t>
        </is>
      </c>
      <c r="X11" t="inlineStr">
        <is>
          <t>-</t>
        </is>
      </c>
      <c r="Z11" t="inlineStr">
        <is>
          <t>-</t>
        </is>
      </c>
      <c r="AA11" t="inlineStr">
        <is>
          <t>-</t>
        </is>
      </c>
      <c r="AC11" t="inlineStr">
        <is>
          <t>-</t>
        </is>
      </c>
      <c r="AD11" t="inlineStr">
        <is>
          <t>-</t>
        </is>
      </c>
      <c r="AF11" t="inlineStr">
        <is>
          <t>-</t>
        </is>
      </c>
      <c r="AG11" t="inlineStr">
        <is>
          <t>-</t>
        </is>
      </c>
      <c r="AI11" t="n">
        <v>14350.8</v>
      </c>
      <c r="AJ11" t="inlineStr">
        <is>
          <t>-</t>
        </is>
      </c>
      <c r="AL11" t="n">
        <v>14948.6</v>
      </c>
      <c r="AM11" t="inlineStr">
        <is>
          <t>-</t>
        </is>
      </c>
      <c r="AO11" t="inlineStr">
        <is>
          <t>-</t>
        </is>
      </c>
      <c r="AP11" t="inlineStr">
        <is>
          <t>-</t>
        </is>
      </c>
      <c r="AR11" t="inlineStr">
        <is>
          <t>-</t>
        </is>
      </c>
      <c r="AS11" t="inlineStr">
        <is>
          <t>-</t>
        </is>
      </c>
      <c r="AU11" t="inlineStr">
        <is>
          <t>-</t>
        </is>
      </c>
      <c r="AV11" t="inlineStr">
        <is>
          <t>-</t>
        </is>
      </c>
    </row>
    <row r="12">
      <c r="A12" t="inlineStr">
        <is>
          <t>Bono de Conversión Ley 6410</t>
        </is>
      </c>
      <c r="B12" t="inlineStr">
        <is>
          <t>-</t>
        </is>
      </c>
      <c r="C12" t="inlineStr">
        <is>
          <t>-</t>
        </is>
      </c>
      <c r="E12" t="inlineStr">
        <is>
          <t>-</t>
        </is>
      </c>
      <c r="F12" t="inlineStr">
        <is>
          <t>-</t>
        </is>
      </c>
      <c r="H12" t="inlineStr">
        <is>
          <t>-</t>
        </is>
      </c>
      <c r="I12" t="inlineStr">
        <is>
          <t>-</t>
        </is>
      </c>
      <c r="K12" t="inlineStr">
        <is>
          <t>-</t>
        </is>
      </c>
      <c r="L12" t="inlineStr">
        <is>
          <t>-</t>
        </is>
      </c>
      <c r="N12" t="inlineStr">
        <is>
          <t>-</t>
        </is>
      </c>
      <c r="O12" t="inlineStr">
        <is>
          <t>-</t>
        </is>
      </c>
      <c r="Q12" t="inlineStr">
        <is>
          <t>-</t>
        </is>
      </c>
      <c r="R12" t="inlineStr">
        <is>
          <t>-</t>
        </is>
      </c>
      <c r="T12" t="inlineStr">
        <is>
          <t>-</t>
        </is>
      </c>
      <c r="U12" t="inlineStr">
        <is>
          <t>-</t>
        </is>
      </c>
      <c r="W12" t="inlineStr">
        <is>
          <t>-</t>
        </is>
      </c>
      <c r="X12" t="inlineStr">
        <is>
          <t>-</t>
        </is>
      </c>
      <c r="Z12" t="inlineStr">
        <is>
          <t>-</t>
        </is>
      </c>
      <c r="AA12" t="inlineStr">
        <is>
          <t>-</t>
        </is>
      </c>
      <c r="AC12" t="inlineStr">
        <is>
          <t>-</t>
        </is>
      </c>
      <c r="AD12" t="inlineStr">
        <is>
          <t>-</t>
        </is>
      </c>
      <c r="AF12" t="inlineStr">
        <is>
          <t>-</t>
        </is>
      </c>
      <c r="AG12" t="inlineStr">
        <is>
          <t>-</t>
        </is>
      </c>
      <c r="AL12" t="n">
        <v>4874.3</v>
      </c>
      <c r="AM12" t="inlineStr">
        <is>
          <t>-</t>
        </is>
      </c>
      <c r="AO12" t="n">
        <v>4874.3</v>
      </c>
      <c r="AP12" t="inlineStr">
        <is>
          <t>-</t>
        </is>
      </c>
      <c r="AR12" t="n">
        <v>4874.3</v>
      </c>
      <c r="AS12" t="inlineStr">
        <is>
          <t>-</t>
        </is>
      </c>
      <c r="AU12" t="n">
        <v>4468.1</v>
      </c>
      <c r="AV12" t="inlineStr">
        <is>
          <t>-</t>
        </is>
      </c>
    </row>
    <row r="13">
      <c r="A13" t="inlineStr">
        <is>
          <t>Letras del Tesoro</t>
        </is>
      </c>
      <c r="B13" t="inlineStr">
        <is>
          <t>-</t>
        </is>
      </c>
      <c r="C13" t="inlineStr">
        <is>
          <t>-</t>
        </is>
      </c>
      <c r="E13" t="inlineStr">
        <is>
          <t>-</t>
        </is>
      </c>
      <c r="F13" t="inlineStr">
        <is>
          <t>-</t>
        </is>
      </c>
      <c r="H13" t="inlineStr">
        <is>
          <t>-</t>
        </is>
      </c>
      <c r="I13" t="inlineStr">
        <is>
          <t>-</t>
        </is>
      </c>
      <c r="K13" t="inlineStr">
        <is>
          <t>-</t>
        </is>
      </c>
      <c r="L13" t="inlineStr">
        <is>
          <t>-</t>
        </is>
      </c>
      <c r="N13" t="inlineStr">
        <is>
          <t>-</t>
        </is>
      </c>
      <c r="O13" t="inlineStr">
        <is>
          <t>-</t>
        </is>
      </c>
      <c r="Q13" t="inlineStr">
        <is>
          <t>-</t>
        </is>
      </c>
      <c r="R13" t="inlineStr">
        <is>
          <t>-</t>
        </is>
      </c>
      <c r="T13" t="inlineStr">
        <is>
          <t>-</t>
        </is>
      </c>
      <c r="U13" t="inlineStr">
        <is>
          <t>-</t>
        </is>
      </c>
      <c r="W13" t="inlineStr">
        <is>
          <t>-</t>
        </is>
      </c>
      <c r="X13" t="inlineStr">
        <is>
          <t>-</t>
        </is>
      </c>
      <c r="Z13" t="inlineStr">
        <is>
          <t>-</t>
        </is>
      </c>
      <c r="AA13" t="inlineStr">
        <is>
          <t>-</t>
        </is>
      </c>
      <c r="AC13" t="inlineStr">
        <is>
          <t>-</t>
        </is>
      </c>
      <c r="AD13" t="inlineStr">
        <is>
          <t>-</t>
        </is>
      </c>
      <c r="AF13" t="inlineStr">
        <is>
          <t>-</t>
        </is>
      </c>
      <c r="AG13" t="inlineStr">
        <is>
          <t>-</t>
        </is>
      </c>
      <c r="AI13" t="n">
        <v>12000</v>
      </c>
      <c r="AJ13" t="inlineStr">
        <is>
          <t>-</t>
        </is>
      </c>
      <c r="AL13" t="inlineStr">
        <is>
          <t>-</t>
        </is>
      </c>
      <c r="AM13" t="inlineStr">
        <is>
          <t>-</t>
        </is>
      </c>
      <c r="AO13" t="inlineStr">
        <is>
          <t>-</t>
        </is>
      </c>
      <c r="AP13" t="inlineStr">
        <is>
          <t>-</t>
        </is>
      </c>
      <c r="AR13" t="inlineStr">
        <is>
          <t>-</t>
        </is>
      </c>
      <c r="AS13" t="inlineStr">
        <is>
          <t>-</t>
        </is>
      </c>
      <c r="AU13" t="inlineStr">
        <is>
          <t>-</t>
        </is>
      </c>
      <c r="AV13" t="inlineStr">
        <is>
          <t>-</t>
        </is>
      </c>
    </row>
    <row r="14">
      <c r="A14" t="inlineStr">
        <is>
          <t xml:space="preserve">Programa de Financiamiento  Mercado local </t>
        </is>
      </c>
      <c r="B14" t="inlineStr">
        <is>
          <t xml:space="preserve"> -</t>
        </is>
      </c>
      <c r="C14" t="inlineStr">
        <is>
          <t xml:space="preserve"> -</t>
        </is>
      </c>
      <c r="E14" t="inlineStr">
        <is>
          <t xml:space="preserve"> -</t>
        </is>
      </c>
      <c r="F14" t="inlineStr">
        <is>
          <t xml:space="preserve"> -</t>
        </is>
      </c>
      <c r="H14" t="inlineStr">
        <is>
          <t xml:space="preserve"> -</t>
        </is>
      </c>
      <c r="I14" t="inlineStr">
        <is>
          <t xml:space="preserve"> -</t>
        </is>
      </c>
      <c r="K14" t="inlineStr">
        <is>
          <t xml:space="preserve"> -</t>
        </is>
      </c>
      <c r="L14" t="n">
        <v>616.8942</v>
      </c>
      <c r="N14" t="n">
        <v>374.362</v>
      </c>
      <c r="O14" t="n">
        <v>932.2115</v>
      </c>
      <c r="Q14" t="n">
        <v>1216.06</v>
      </c>
      <c r="R14" t="n">
        <v>969.5099999999999</v>
      </c>
      <c r="T14" t="n">
        <v>3380.7019</v>
      </c>
      <c r="U14" t="n">
        <v>611.1400000000001</v>
      </c>
      <c r="W14" t="n">
        <v>21914.3899</v>
      </c>
      <c r="X14" t="n">
        <v>196.0304</v>
      </c>
      <c r="Z14" t="n">
        <v>28304.3623</v>
      </c>
      <c r="AA14" t="n">
        <v>54.2331</v>
      </c>
      <c r="AC14" t="n">
        <v>47782.9616</v>
      </c>
      <c r="AD14" t="n">
        <v>11.3814</v>
      </c>
      <c r="AF14" t="n">
        <v>68895.66770000001</v>
      </c>
      <c r="AG14" t="inlineStr">
        <is>
          <t>-</t>
        </is>
      </c>
      <c r="AI14" t="n">
        <v>67638</v>
      </c>
      <c r="AJ14" t="inlineStr">
        <is>
          <t>-</t>
        </is>
      </c>
      <c r="AL14" t="n">
        <v>56813.10000000001</v>
      </c>
      <c r="AM14" t="inlineStr">
        <is>
          <t>-</t>
        </is>
      </c>
      <c r="AO14" t="n">
        <v>56813.2</v>
      </c>
      <c r="AP14" t="inlineStr">
        <is>
          <t>-</t>
        </is>
      </c>
      <c r="AR14" t="n">
        <v>30809.9</v>
      </c>
      <c r="AS14" t="inlineStr">
        <is>
          <t>-</t>
        </is>
      </c>
      <c r="AU14" t="n">
        <v>30810.9</v>
      </c>
      <c r="AV14" t="inlineStr">
        <is>
          <t>-</t>
        </is>
      </c>
    </row>
    <row r="15">
      <c r="A15" t="inlineStr">
        <is>
          <t>Bono Ley 4315 - Clase 1</t>
        </is>
      </c>
      <c r="B15" t="inlineStr">
        <is>
          <t xml:space="preserve"> -</t>
        </is>
      </c>
      <c r="C15" t="inlineStr">
        <is>
          <t xml:space="preserve"> -</t>
        </is>
      </c>
      <c r="E15" t="inlineStr">
        <is>
          <t xml:space="preserve"> -</t>
        </is>
      </c>
      <c r="F15" t="inlineStr">
        <is>
          <t xml:space="preserve"> -</t>
        </is>
      </c>
      <c r="H15" t="inlineStr">
        <is>
          <t xml:space="preserve"> -</t>
        </is>
      </c>
      <c r="I15" t="inlineStr">
        <is>
          <t xml:space="preserve"> -</t>
        </is>
      </c>
      <c r="K15" t="inlineStr">
        <is>
          <t xml:space="preserve"> -</t>
        </is>
      </c>
      <c r="L15" t="n">
        <v>101.4133</v>
      </c>
      <c r="N15" t="inlineStr">
        <is>
          <t xml:space="preserve"> -</t>
        </is>
      </c>
      <c r="O15" t="inlineStr">
        <is>
          <t xml:space="preserve"> -</t>
        </is>
      </c>
      <c r="Q15" t="inlineStr">
        <is>
          <t xml:space="preserve"> -</t>
        </is>
      </c>
      <c r="R15" t="inlineStr">
        <is>
          <t xml:space="preserve"> -</t>
        </is>
      </c>
      <c r="T15" t="inlineStr">
        <is>
          <t xml:space="preserve"> -</t>
        </is>
      </c>
      <c r="U15" t="inlineStr">
        <is>
          <t xml:space="preserve"> -</t>
        </is>
      </c>
      <c r="W15" t="inlineStr">
        <is>
          <t xml:space="preserve"> -</t>
        </is>
      </c>
      <c r="X15" t="inlineStr">
        <is>
          <t xml:space="preserve"> -</t>
        </is>
      </c>
      <c r="Z15" t="inlineStr">
        <is>
          <t xml:space="preserve"> -</t>
        </is>
      </c>
      <c r="AA15" t="inlineStr">
        <is>
          <t xml:space="preserve"> -</t>
        </is>
      </c>
      <c r="AC15" t="inlineStr">
        <is>
          <t xml:space="preserve"> -</t>
        </is>
      </c>
      <c r="AD15" t="inlineStr">
        <is>
          <t xml:space="preserve"> -</t>
        </is>
      </c>
      <c r="AF15" t="inlineStr">
        <is>
          <t>-</t>
        </is>
      </c>
      <c r="AG15" t="inlineStr">
        <is>
          <t>-</t>
        </is>
      </c>
      <c r="AI15" t="inlineStr">
        <is>
          <t>-</t>
        </is>
      </c>
      <c r="AJ15" t="inlineStr">
        <is>
          <t>-</t>
        </is>
      </c>
      <c r="AL15" t="inlineStr">
        <is>
          <t>-</t>
        </is>
      </c>
      <c r="AM15" t="inlineStr">
        <is>
          <t>-</t>
        </is>
      </c>
      <c r="AO15" t="inlineStr">
        <is>
          <t>-</t>
        </is>
      </c>
      <c r="AP15" t="inlineStr">
        <is>
          <t>-</t>
        </is>
      </c>
      <c r="AR15" t="inlineStr">
        <is>
          <t>-</t>
        </is>
      </c>
      <c r="AS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Bono Leyes 4315 y 4431 - Clase 2</t>
        </is>
      </c>
      <c r="B16" t="inlineStr">
        <is>
          <t xml:space="preserve"> -</t>
        </is>
      </c>
      <c r="C16" t="inlineStr">
        <is>
          <t xml:space="preserve"> -</t>
        </is>
      </c>
      <c r="E16" t="inlineStr">
        <is>
          <t xml:space="preserve"> -</t>
        </is>
      </c>
      <c r="F16" t="inlineStr">
        <is>
          <t xml:space="preserve"> -</t>
        </is>
      </c>
      <c r="H16" t="inlineStr">
        <is>
          <t xml:space="preserve"> -</t>
        </is>
      </c>
      <c r="I16" t="inlineStr">
        <is>
          <t xml:space="preserve"> -</t>
        </is>
      </c>
      <c r="K16" t="inlineStr">
        <is>
          <t xml:space="preserve"> -</t>
        </is>
      </c>
      <c r="L16" t="n">
        <v>85.07989999999999</v>
      </c>
      <c r="N16" t="inlineStr">
        <is>
          <t xml:space="preserve"> -</t>
        </is>
      </c>
      <c r="O16" t="inlineStr">
        <is>
          <t xml:space="preserve"> -</t>
        </is>
      </c>
      <c r="Q16" t="inlineStr">
        <is>
          <t xml:space="preserve"> -</t>
        </is>
      </c>
      <c r="R16" t="inlineStr">
        <is>
          <t xml:space="preserve"> -</t>
        </is>
      </c>
      <c r="T16" t="inlineStr">
        <is>
          <t xml:space="preserve"> -</t>
        </is>
      </c>
      <c r="U16" t="inlineStr">
        <is>
          <t xml:space="preserve"> -</t>
        </is>
      </c>
      <c r="W16" t="inlineStr">
        <is>
          <t xml:space="preserve"> -</t>
        </is>
      </c>
      <c r="X16" t="inlineStr">
        <is>
          <t xml:space="preserve"> -</t>
        </is>
      </c>
      <c r="Z16" t="inlineStr">
        <is>
          <t xml:space="preserve"> -</t>
        </is>
      </c>
      <c r="AA16" t="inlineStr">
        <is>
          <t xml:space="preserve"> -</t>
        </is>
      </c>
      <c r="AC16" t="inlineStr">
        <is>
          <t xml:space="preserve"> -</t>
        </is>
      </c>
      <c r="AD16" t="inlineStr">
        <is>
          <t xml:space="preserve"> -</t>
        </is>
      </c>
      <c r="AF16" t="inlineStr">
        <is>
          <t>-</t>
        </is>
      </c>
      <c r="AG16" t="inlineStr">
        <is>
          <t>-</t>
        </is>
      </c>
      <c r="AI16" t="inlineStr">
        <is>
          <t>-</t>
        </is>
      </c>
      <c r="AJ16" t="inlineStr">
        <is>
          <t>-</t>
        </is>
      </c>
      <c r="AL16" t="inlineStr">
        <is>
          <t>-</t>
        </is>
      </c>
      <c r="AM16" t="inlineStr">
        <is>
          <t>-</t>
        </is>
      </c>
      <c r="AO16" t="inlineStr">
        <is>
          <t>-</t>
        </is>
      </c>
      <c r="AP16" t="inlineStr">
        <is>
          <t>-</t>
        </is>
      </c>
      <c r="AR16" t="inlineStr">
        <is>
          <t>-</t>
        </is>
      </c>
      <c r="AS16" t="inlineStr">
        <is>
          <t>-</t>
        </is>
      </c>
      <c r="AU16" t="inlineStr">
        <is>
          <t>-</t>
        </is>
      </c>
      <c r="AV16" t="inlineStr">
        <is>
          <t>-</t>
        </is>
      </c>
    </row>
    <row r="17">
      <c r="A17" t="inlineStr">
        <is>
          <t>Bono Ley 4472 - Clase 3</t>
        </is>
      </c>
      <c r="B17" t="inlineStr">
        <is>
          <t xml:space="preserve"> -</t>
        </is>
      </c>
      <c r="C17" t="inlineStr">
        <is>
          <t xml:space="preserve"> -</t>
        </is>
      </c>
      <c r="E17" t="inlineStr">
        <is>
          <t xml:space="preserve"> -</t>
        </is>
      </c>
      <c r="F17" t="inlineStr">
        <is>
          <t xml:space="preserve"> -</t>
        </is>
      </c>
      <c r="H17" t="inlineStr">
        <is>
          <t xml:space="preserve"> -</t>
        </is>
      </c>
      <c r="I17" t="inlineStr">
        <is>
          <t xml:space="preserve"> -</t>
        </is>
      </c>
      <c r="K17" t="inlineStr">
        <is>
          <t xml:space="preserve"> -</t>
        </is>
      </c>
      <c r="L17" t="n">
        <v>100.0238</v>
      </c>
      <c r="N17" t="inlineStr">
        <is>
          <t xml:space="preserve"> -</t>
        </is>
      </c>
      <c r="O17" t="n">
        <v>101.194</v>
      </c>
      <c r="Q17" t="inlineStr">
        <is>
          <t xml:space="preserve"> -</t>
        </is>
      </c>
      <c r="R17" t="n">
        <v>101.19</v>
      </c>
      <c r="T17" t="inlineStr">
        <is>
          <t xml:space="preserve"> -</t>
        </is>
      </c>
      <c r="U17" t="n">
        <v>75.8955</v>
      </c>
      <c r="W17" t="inlineStr">
        <is>
          <t xml:space="preserve"> -</t>
        </is>
      </c>
      <c r="X17" t="n">
        <v>7.954700000000001</v>
      </c>
      <c r="Z17" t="inlineStr">
        <is>
          <t xml:space="preserve"> -</t>
        </is>
      </c>
      <c r="AA17" t="inlineStr">
        <is>
          <t xml:space="preserve"> -</t>
        </is>
      </c>
      <c r="AC17" t="inlineStr">
        <is>
          <t xml:space="preserve"> -</t>
        </is>
      </c>
      <c r="AD17" t="inlineStr">
        <is>
          <t xml:space="preserve"> -</t>
        </is>
      </c>
      <c r="AF17" t="inlineStr">
        <is>
          <t>-</t>
        </is>
      </c>
      <c r="AG17" t="inlineStr">
        <is>
          <t>-</t>
        </is>
      </c>
      <c r="AI17" t="inlineStr">
        <is>
          <t>-</t>
        </is>
      </c>
      <c r="AJ17" t="inlineStr">
        <is>
          <t>-</t>
        </is>
      </c>
      <c r="AL17" t="inlineStr">
        <is>
          <t>-</t>
        </is>
      </c>
      <c r="AM17" t="inlineStr">
        <is>
          <t>-</t>
        </is>
      </c>
      <c r="AO17" t="inlineStr">
        <is>
          <t>-</t>
        </is>
      </c>
      <c r="AP17" t="inlineStr">
        <is>
          <t>-</t>
        </is>
      </c>
      <c r="AR17" t="inlineStr">
        <is>
          <t>-</t>
        </is>
      </c>
      <c r="AS17" t="inlineStr">
        <is>
          <t>-</t>
        </is>
      </c>
      <c r="AU17" t="inlineStr">
        <is>
          <t>-</t>
        </is>
      </c>
      <c r="AV17" t="inlineStr">
        <is>
          <t>-</t>
        </is>
      </c>
    </row>
    <row r="18">
      <c r="A18" t="inlineStr">
        <is>
          <t>Bono Leyes 4382 y 4885 - Clase 4</t>
        </is>
      </c>
      <c r="B18" t="inlineStr">
        <is>
          <t xml:space="preserve"> -</t>
        </is>
      </c>
      <c r="C18" t="inlineStr">
        <is>
          <t xml:space="preserve"> -</t>
        </is>
      </c>
      <c r="E18" t="inlineStr">
        <is>
          <t xml:space="preserve"> -</t>
        </is>
      </c>
      <c r="F18" t="inlineStr">
        <is>
          <t xml:space="preserve"> -</t>
        </is>
      </c>
      <c r="H18" t="inlineStr">
        <is>
          <t xml:space="preserve"> -</t>
        </is>
      </c>
      <c r="I18" t="inlineStr">
        <is>
          <t xml:space="preserve"> -</t>
        </is>
      </c>
      <c r="K18" t="inlineStr">
        <is>
          <t xml:space="preserve"> -</t>
        </is>
      </c>
      <c r="L18" t="n">
        <v>217.0746</v>
      </c>
      <c r="N18" t="inlineStr">
        <is>
          <t xml:space="preserve"> -</t>
        </is>
      </c>
      <c r="O18" t="n">
        <v>328.7193</v>
      </c>
      <c r="Q18" t="inlineStr">
        <is>
          <t xml:space="preserve"> -</t>
        </is>
      </c>
      <c r="R18" t="n">
        <v>328.72</v>
      </c>
      <c r="T18" t="inlineStr">
        <is>
          <t xml:space="preserve"> -</t>
        </is>
      </c>
      <c r="U18" t="n">
        <v>273.9218</v>
      </c>
      <c r="W18" t="inlineStr">
        <is>
          <t xml:space="preserve"> -</t>
        </is>
      </c>
      <c r="X18" t="n">
        <v>45.0228</v>
      </c>
      <c r="Z18" t="inlineStr">
        <is>
          <t xml:space="preserve"> -</t>
        </is>
      </c>
      <c r="AA18" t="n">
        <v>11.384</v>
      </c>
      <c r="AC18" t="inlineStr">
        <is>
          <t xml:space="preserve"> -</t>
        </is>
      </c>
      <c r="AD18" t="inlineStr">
        <is>
          <t xml:space="preserve"> -</t>
        </is>
      </c>
      <c r="AF18" t="inlineStr">
        <is>
          <t>-</t>
        </is>
      </c>
      <c r="AG18" t="inlineStr">
        <is>
          <t>-</t>
        </is>
      </c>
      <c r="AI18" t="inlineStr">
        <is>
          <t>-</t>
        </is>
      </c>
      <c r="AJ18" t="inlineStr">
        <is>
          <t>-</t>
        </is>
      </c>
      <c r="AL18" t="inlineStr">
        <is>
          <t>-</t>
        </is>
      </c>
      <c r="AM18" t="inlineStr">
        <is>
          <t>-</t>
        </is>
      </c>
      <c r="AO18" t="inlineStr">
        <is>
          <t>-</t>
        </is>
      </c>
      <c r="AP18" t="inlineStr">
        <is>
          <t>-</t>
        </is>
      </c>
      <c r="AR18" t="inlineStr">
        <is>
          <t>-</t>
        </is>
      </c>
      <c r="AS18" t="inlineStr">
        <is>
          <t>-</t>
        </is>
      </c>
      <c r="AU18" t="inlineStr">
        <is>
          <t>-</t>
        </is>
      </c>
      <c r="AV18" t="inlineStr">
        <is>
          <t>-</t>
        </is>
      </c>
    </row>
    <row r="19">
      <c r="A19" t="inlineStr">
        <is>
          <t>Bono Ley 4810 - Clase 5</t>
        </is>
      </c>
      <c r="B19" t="inlineStr">
        <is>
          <t xml:space="preserve"> -</t>
        </is>
      </c>
      <c r="C19" t="inlineStr">
        <is>
          <t xml:space="preserve"> -</t>
        </is>
      </c>
      <c r="E19" t="inlineStr">
        <is>
          <t xml:space="preserve"> -</t>
        </is>
      </c>
      <c r="F19" t="inlineStr">
        <is>
          <t xml:space="preserve"> -</t>
        </is>
      </c>
      <c r="H19" t="inlineStr">
        <is>
          <t xml:space="preserve"> -</t>
        </is>
      </c>
      <c r="I19" t="inlineStr">
        <is>
          <t xml:space="preserve"> -</t>
        </is>
      </c>
      <c r="K19" t="inlineStr">
        <is>
          <t xml:space="preserve"> -</t>
        </is>
      </c>
      <c r="L19" t="n">
        <v>113.3026</v>
      </c>
      <c r="N19" t="inlineStr">
        <is>
          <t xml:space="preserve"> -</t>
        </is>
      </c>
      <c r="O19" t="n">
        <v>113.3026</v>
      </c>
      <c r="Q19" t="inlineStr">
        <is>
          <t xml:space="preserve"> -</t>
        </is>
      </c>
      <c r="R19" t="n">
        <v>113.3</v>
      </c>
      <c r="T19" t="inlineStr">
        <is>
          <t xml:space="preserve"> -</t>
        </is>
      </c>
      <c r="U19" t="n">
        <v>113.3035</v>
      </c>
      <c r="W19" t="inlineStr">
        <is>
          <t xml:space="preserve"> -</t>
        </is>
      </c>
      <c r="X19" t="n">
        <v>19.7128</v>
      </c>
      <c r="Z19" t="inlineStr">
        <is>
          <t xml:space="preserve"> -</t>
        </is>
      </c>
      <c r="AA19" t="n">
        <v>8.6778</v>
      </c>
      <c r="AC19" t="inlineStr">
        <is>
          <t xml:space="preserve"> -</t>
        </is>
      </c>
      <c r="AD19" t="inlineStr">
        <is>
          <t xml:space="preserve"> -</t>
        </is>
      </c>
      <c r="AF19" t="inlineStr">
        <is>
          <t>-</t>
        </is>
      </c>
      <c r="AG19" t="inlineStr">
        <is>
          <t>-</t>
        </is>
      </c>
      <c r="AI19" t="inlineStr">
        <is>
          <t>-</t>
        </is>
      </c>
      <c r="AJ19" t="inlineStr">
        <is>
          <t>-</t>
        </is>
      </c>
      <c r="AL19" t="inlineStr">
        <is>
          <t>-</t>
        </is>
      </c>
      <c r="AM19" t="inlineStr">
        <is>
          <t>-</t>
        </is>
      </c>
      <c r="AO19" t="inlineStr">
        <is>
          <t>-</t>
        </is>
      </c>
      <c r="AP19" t="inlineStr">
        <is>
          <t>-</t>
        </is>
      </c>
      <c r="AR19" t="inlineStr">
        <is>
          <t>-</t>
        </is>
      </c>
      <c r="AS19" t="inlineStr">
        <is>
          <t>-</t>
        </is>
      </c>
      <c r="AU19" t="inlineStr">
        <is>
          <t>-</t>
        </is>
      </c>
      <c r="AV19" t="inlineStr">
        <is>
          <t>-</t>
        </is>
      </c>
    </row>
    <row r="20">
      <c r="A20" t="inlineStr">
        <is>
          <t>Bono Ley 4810 - Clase 6</t>
        </is>
      </c>
      <c r="B20" t="inlineStr">
        <is>
          <t xml:space="preserve"> -</t>
        </is>
      </c>
      <c r="C20" t="inlineStr">
        <is>
          <t xml:space="preserve"> -</t>
        </is>
      </c>
      <c r="E20" t="inlineStr">
        <is>
          <t xml:space="preserve"> -</t>
        </is>
      </c>
      <c r="F20" t="inlineStr">
        <is>
          <t xml:space="preserve"> -</t>
        </is>
      </c>
      <c r="H20" t="inlineStr">
        <is>
          <t xml:space="preserve"> -</t>
        </is>
      </c>
      <c r="I20" t="inlineStr">
        <is>
          <t xml:space="preserve"> -</t>
        </is>
      </c>
      <c r="K20" t="inlineStr">
        <is>
          <t xml:space="preserve"> -</t>
        </is>
      </c>
      <c r="L20" t="inlineStr">
        <is>
          <t xml:space="preserve"> -</t>
        </is>
      </c>
      <c r="N20" t="inlineStr">
        <is>
          <t xml:space="preserve"> -</t>
        </is>
      </c>
      <c r="O20" t="n">
        <v>148.0192</v>
      </c>
      <c r="Q20" t="inlineStr">
        <is>
          <t xml:space="preserve"> -</t>
        </is>
      </c>
      <c r="R20" t="n">
        <v>148.02</v>
      </c>
      <c r="T20" t="inlineStr">
        <is>
          <t xml:space="preserve"> -</t>
        </is>
      </c>
      <c r="U20" t="n">
        <v>148.0192</v>
      </c>
      <c r="W20" t="inlineStr">
        <is>
          <t xml:space="preserve"> -</t>
        </is>
      </c>
      <c r="X20" t="n">
        <v>123.3401</v>
      </c>
      <c r="Z20" t="inlineStr">
        <is>
          <t>-</t>
        </is>
      </c>
      <c r="AA20" t="n">
        <v>34.1713</v>
      </c>
      <c r="AC20" t="inlineStr">
        <is>
          <t xml:space="preserve"> -</t>
        </is>
      </c>
      <c r="AD20" t="n">
        <v>11.3814</v>
      </c>
      <c r="AF20" t="inlineStr">
        <is>
          <t>-</t>
        </is>
      </c>
      <c r="AG20" t="inlineStr">
        <is>
          <t>-</t>
        </is>
      </c>
      <c r="AI20" t="inlineStr">
        <is>
          <t>-</t>
        </is>
      </c>
      <c r="AJ20" t="inlineStr">
        <is>
          <t>-</t>
        </is>
      </c>
      <c r="AL20" t="inlineStr">
        <is>
          <t>-</t>
        </is>
      </c>
      <c r="AM20" t="inlineStr">
        <is>
          <t>-</t>
        </is>
      </c>
      <c r="AO20" t="inlineStr">
        <is>
          <t>-</t>
        </is>
      </c>
      <c r="AP20" t="inlineStr">
        <is>
          <t>-</t>
        </is>
      </c>
      <c r="AR20" t="inlineStr">
        <is>
          <t>-</t>
        </is>
      </c>
      <c r="AS20" t="inlineStr">
        <is>
          <t>-</t>
        </is>
      </c>
      <c r="AU20" t="inlineStr">
        <is>
          <t>-</t>
        </is>
      </c>
      <c r="AV20" t="inlineStr">
        <is>
          <t>-</t>
        </is>
      </c>
    </row>
    <row r="21">
      <c r="A21" t="inlineStr">
        <is>
          <t>Bono Ley 4472 - Clase 7</t>
        </is>
      </c>
      <c r="B21" t="inlineStr">
        <is>
          <t xml:space="preserve"> -</t>
        </is>
      </c>
      <c r="C21" t="inlineStr">
        <is>
          <t xml:space="preserve"> -</t>
        </is>
      </c>
      <c r="E21" t="inlineStr">
        <is>
          <t xml:space="preserve"> -</t>
        </is>
      </c>
      <c r="F21" t="inlineStr">
        <is>
          <t xml:space="preserve"> -</t>
        </is>
      </c>
      <c r="H21" t="inlineStr">
        <is>
          <t xml:space="preserve"> -</t>
        </is>
      </c>
      <c r="I21" t="inlineStr">
        <is>
          <t xml:space="preserve"> -</t>
        </is>
      </c>
      <c r="K21" t="inlineStr">
        <is>
          <t xml:space="preserve"> -</t>
        </is>
      </c>
      <c r="L21" t="inlineStr">
        <is>
          <t xml:space="preserve"> -</t>
        </is>
      </c>
      <c r="N21" t="inlineStr">
        <is>
          <t xml:space="preserve"> -</t>
        </is>
      </c>
      <c r="O21" t="n">
        <v>100.6993</v>
      </c>
      <c r="Q21" t="inlineStr">
        <is>
          <t xml:space="preserve"> -</t>
        </is>
      </c>
      <c r="R21" t="n">
        <v>100.7</v>
      </c>
      <c r="T21" t="inlineStr">
        <is>
          <t xml:space="preserve"> -</t>
        </is>
      </c>
      <c r="U21" t="inlineStr">
        <is>
          <t xml:space="preserve"> -</t>
        </is>
      </c>
      <c r="W21" t="inlineStr">
        <is>
          <t xml:space="preserve"> -</t>
        </is>
      </c>
      <c r="X21" t="inlineStr">
        <is>
          <t xml:space="preserve"> -</t>
        </is>
      </c>
      <c r="Z21" t="inlineStr">
        <is>
          <t xml:space="preserve"> -</t>
        </is>
      </c>
      <c r="AA21" t="inlineStr">
        <is>
          <t xml:space="preserve"> -</t>
        </is>
      </c>
      <c r="AC21" t="inlineStr">
        <is>
          <t xml:space="preserve"> -</t>
        </is>
      </c>
      <c r="AD21" t="inlineStr">
        <is>
          <t xml:space="preserve"> -</t>
        </is>
      </c>
      <c r="AF21" t="inlineStr">
        <is>
          <t>-</t>
        </is>
      </c>
      <c r="AG21" t="inlineStr">
        <is>
          <t>-</t>
        </is>
      </c>
      <c r="AI21" t="inlineStr">
        <is>
          <t>-</t>
        </is>
      </c>
      <c r="AJ21" t="inlineStr">
        <is>
          <t>-</t>
        </is>
      </c>
      <c r="AL21" t="inlineStr">
        <is>
          <t>-</t>
        </is>
      </c>
      <c r="AM21" t="inlineStr">
        <is>
          <t>-</t>
        </is>
      </c>
      <c r="AO21" t="inlineStr">
        <is>
          <t>-</t>
        </is>
      </c>
      <c r="AP21" t="inlineStr">
        <is>
          <t>-</t>
        </is>
      </c>
      <c r="AR21" t="inlineStr">
        <is>
          <t>-</t>
        </is>
      </c>
      <c r="AS21" t="inlineStr">
        <is>
          <t>-</t>
        </is>
      </c>
      <c r="AU21" t="inlineStr">
        <is>
          <t>-</t>
        </is>
      </c>
      <c r="AV21" t="inlineStr">
        <is>
          <t>-</t>
        </is>
      </c>
    </row>
    <row r="22">
      <c r="A22" t="inlineStr">
        <is>
          <t>Bono Ley 4472 - Clase 8</t>
        </is>
      </c>
      <c r="B22" t="inlineStr">
        <is>
          <t xml:space="preserve"> -</t>
        </is>
      </c>
      <c r="C22" t="inlineStr">
        <is>
          <t xml:space="preserve"> -</t>
        </is>
      </c>
      <c r="E22" t="inlineStr">
        <is>
          <t xml:space="preserve"> -</t>
        </is>
      </c>
      <c r="F22" t="inlineStr">
        <is>
          <t xml:space="preserve"> -</t>
        </is>
      </c>
      <c r="H22" t="inlineStr">
        <is>
          <t xml:space="preserve"> -</t>
        </is>
      </c>
      <c r="I22" t="inlineStr">
        <is>
          <t xml:space="preserve"> -</t>
        </is>
      </c>
      <c r="K22" t="inlineStr">
        <is>
          <t xml:space="preserve"> -</t>
        </is>
      </c>
      <c r="L22" t="inlineStr">
        <is>
          <t xml:space="preserve"> -</t>
        </is>
      </c>
      <c r="N22" t="inlineStr">
        <is>
          <t xml:space="preserve"> -</t>
        </is>
      </c>
      <c r="O22" t="n">
        <v>75.619</v>
      </c>
      <c r="Q22" t="inlineStr">
        <is>
          <t xml:space="preserve"> -</t>
        </is>
      </c>
      <c r="R22" t="n">
        <v>75.62</v>
      </c>
      <c r="T22" t="inlineStr">
        <is>
          <t xml:space="preserve"> -</t>
        </is>
      </c>
      <c r="U22" t="inlineStr">
        <is>
          <t xml:space="preserve"> -</t>
        </is>
      </c>
      <c r="W22" t="inlineStr">
        <is>
          <t xml:space="preserve"> -</t>
        </is>
      </c>
      <c r="X22" t="inlineStr">
        <is>
          <t xml:space="preserve"> -</t>
        </is>
      </c>
      <c r="Z22" t="inlineStr">
        <is>
          <t xml:space="preserve"> -</t>
        </is>
      </c>
      <c r="AA22" t="inlineStr">
        <is>
          <t xml:space="preserve"> -</t>
        </is>
      </c>
      <c r="AC22" t="inlineStr">
        <is>
          <t xml:space="preserve"> -</t>
        </is>
      </c>
      <c r="AD22" t="inlineStr">
        <is>
          <t xml:space="preserve"> -</t>
        </is>
      </c>
      <c r="AF22" t="inlineStr">
        <is>
          <t>-</t>
        </is>
      </c>
      <c r="AG22" t="inlineStr">
        <is>
          <t>-</t>
        </is>
      </c>
      <c r="AI22" t="inlineStr">
        <is>
          <t>-</t>
        </is>
      </c>
      <c r="AJ22" t="inlineStr">
        <is>
          <t>-</t>
        </is>
      </c>
      <c r="AL22" t="inlineStr">
        <is>
          <t>-</t>
        </is>
      </c>
      <c r="AM22" t="inlineStr">
        <is>
          <t>-</t>
        </is>
      </c>
      <c r="AO22" t="inlineStr">
        <is>
          <t>-</t>
        </is>
      </c>
      <c r="AP22" t="inlineStr">
        <is>
          <t>-</t>
        </is>
      </c>
      <c r="AR22" t="inlineStr">
        <is>
          <t>-</t>
        </is>
      </c>
      <c r="AS22" t="inlineStr">
        <is>
          <t>-</t>
        </is>
      </c>
      <c r="AU22" t="inlineStr">
        <is>
          <t>-</t>
        </is>
      </c>
      <c r="AV22" t="inlineStr">
        <is>
          <t>-</t>
        </is>
      </c>
    </row>
    <row r="23">
      <c r="A23" t="inlineStr">
        <is>
          <t>Bono Ley 4472 - Clase 9</t>
        </is>
      </c>
      <c r="B23" t="inlineStr">
        <is>
          <t xml:space="preserve"> -</t>
        </is>
      </c>
      <c r="C23" t="inlineStr">
        <is>
          <t xml:space="preserve"> -</t>
        </is>
      </c>
      <c r="E23" t="inlineStr">
        <is>
          <t xml:space="preserve"> -</t>
        </is>
      </c>
      <c r="F23" t="inlineStr">
        <is>
          <t xml:space="preserve"> -</t>
        </is>
      </c>
      <c r="H23" t="inlineStr">
        <is>
          <t xml:space="preserve"> -</t>
        </is>
      </c>
      <c r="I23" t="inlineStr">
        <is>
          <t xml:space="preserve"> -</t>
        </is>
      </c>
      <c r="K23" t="inlineStr">
        <is>
          <t xml:space="preserve"> -</t>
        </is>
      </c>
      <c r="L23" t="inlineStr">
        <is>
          <t xml:space="preserve"> -</t>
        </is>
      </c>
      <c r="N23" t="n">
        <v>196.4753</v>
      </c>
      <c r="O23" t="inlineStr">
        <is>
          <t xml:space="preserve"> -</t>
        </is>
      </c>
      <c r="Q23" t="n">
        <v>196.68</v>
      </c>
      <c r="R23" t="inlineStr">
        <is>
          <t xml:space="preserve"> -</t>
        </is>
      </c>
      <c r="T23" t="inlineStr">
        <is>
          <t xml:space="preserve"> -</t>
        </is>
      </c>
      <c r="U23" t="inlineStr">
        <is>
          <t xml:space="preserve"> -</t>
        </is>
      </c>
      <c r="W23" t="inlineStr">
        <is>
          <t xml:space="preserve"> -</t>
        </is>
      </c>
      <c r="X23" t="inlineStr">
        <is>
          <t xml:space="preserve"> -</t>
        </is>
      </c>
      <c r="Z23" t="inlineStr">
        <is>
          <t xml:space="preserve"> -</t>
        </is>
      </c>
      <c r="AA23" t="inlineStr">
        <is>
          <t xml:space="preserve"> -</t>
        </is>
      </c>
      <c r="AC23" t="inlineStr">
        <is>
          <t xml:space="preserve"> -</t>
        </is>
      </c>
      <c r="AD23" t="inlineStr">
        <is>
          <t xml:space="preserve"> -</t>
        </is>
      </c>
      <c r="AF23" t="inlineStr">
        <is>
          <t>-</t>
        </is>
      </c>
      <c r="AG23" t="inlineStr">
        <is>
          <t>-</t>
        </is>
      </c>
      <c r="AI23" t="inlineStr">
        <is>
          <t>-</t>
        </is>
      </c>
      <c r="AJ23" t="inlineStr">
        <is>
          <t>-</t>
        </is>
      </c>
      <c r="AL23" t="inlineStr">
        <is>
          <t>-</t>
        </is>
      </c>
      <c r="AM23" t="inlineStr">
        <is>
          <t>-</t>
        </is>
      </c>
      <c r="AO23" t="inlineStr">
        <is>
          <t>-</t>
        </is>
      </c>
      <c r="AP23" t="inlineStr">
        <is>
          <t>-</t>
        </is>
      </c>
      <c r="AR23" t="inlineStr">
        <is>
          <t>-</t>
        </is>
      </c>
      <c r="AS23" t="inlineStr">
        <is>
          <t>-</t>
        </is>
      </c>
      <c r="AU23" t="inlineStr">
        <is>
          <t>-</t>
        </is>
      </c>
      <c r="AV23" t="inlineStr">
        <is>
          <t>-</t>
        </is>
      </c>
    </row>
    <row r="24">
      <c r="A24" t="inlineStr">
        <is>
          <t>Bono Ley 4472 - Clase 10</t>
        </is>
      </c>
      <c r="B24" t="inlineStr">
        <is>
          <t xml:space="preserve"> -</t>
        </is>
      </c>
      <c r="C24" t="inlineStr">
        <is>
          <t xml:space="preserve"> -</t>
        </is>
      </c>
      <c r="E24" t="inlineStr">
        <is>
          <t xml:space="preserve"> -</t>
        </is>
      </c>
      <c r="F24" t="inlineStr">
        <is>
          <t xml:space="preserve"> -</t>
        </is>
      </c>
      <c r="H24" t="inlineStr">
        <is>
          <t xml:space="preserve"> -</t>
        </is>
      </c>
      <c r="I24" t="inlineStr">
        <is>
          <t xml:space="preserve"> -</t>
        </is>
      </c>
      <c r="K24" t="inlineStr">
        <is>
          <t xml:space="preserve"> -</t>
        </is>
      </c>
      <c r="L24" t="inlineStr">
        <is>
          <t xml:space="preserve"> -</t>
        </is>
      </c>
      <c r="N24" t="inlineStr">
        <is>
          <t xml:space="preserve"> -</t>
        </is>
      </c>
      <c r="O24" t="n">
        <v>64.65809999999999</v>
      </c>
      <c r="Q24" t="inlineStr">
        <is>
          <t xml:space="preserve"> -</t>
        </is>
      </c>
      <c r="R24" t="n">
        <v>64.66</v>
      </c>
      <c r="T24" t="inlineStr">
        <is>
          <t xml:space="preserve"> -</t>
        </is>
      </c>
      <c r="U24" t="inlineStr">
        <is>
          <t xml:space="preserve"> -</t>
        </is>
      </c>
      <c r="W24" t="inlineStr">
        <is>
          <t xml:space="preserve"> -</t>
        </is>
      </c>
      <c r="X24" t="inlineStr">
        <is>
          <t xml:space="preserve"> -</t>
        </is>
      </c>
      <c r="Z24" t="inlineStr">
        <is>
          <t xml:space="preserve"> -</t>
        </is>
      </c>
      <c r="AA24" t="inlineStr">
        <is>
          <t xml:space="preserve"> -</t>
        </is>
      </c>
      <c r="AC24" t="inlineStr">
        <is>
          <t xml:space="preserve"> -</t>
        </is>
      </c>
      <c r="AD24" t="inlineStr">
        <is>
          <t xml:space="preserve"> -</t>
        </is>
      </c>
      <c r="AF24" t="inlineStr">
        <is>
          <t>-</t>
        </is>
      </c>
      <c r="AG24" t="inlineStr">
        <is>
          <t>-</t>
        </is>
      </c>
      <c r="AI24" t="inlineStr">
        <is>
          <t>-</t>
        </is>
      </c>
      <c r="AJ24" t="inlineStr">
        <is>
          <t>-</t>
        </is>
      </c>
      <c r="AL24" t="inlineStr">
        <is>
          <t>-</t>
        </is>
      </c>
      <c r="AM24" t="inlineStr">
        <is>
          <t>-</t>
        </is>
      </c>
      <c r="AO24" t="inlineStr">
        <is>
          <t>-</t>
        </is>
      </c>
      <c r="AP24" t="inlineStr">
        <is>
          <t>-</t>
        </is>
      </c>
      <c r="AR24" t="inlineStr">
        <is>
          <t>-</t>
        </is>
      </c>
      <c r="AS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Bono Ley 4472 - Clase 11</t>
        </is>
      </c>
      <c r="B25" t="inlineStr">
        <is>
          <t xml:space="preserve"> -</t>
        </is>
      </c>
      <c r="C25" t="inlineStr">
        <is>
          <t xml:space="preserve"> -</t>
        </is>
      </c>
      <c r="E25" t="inlineStr">
        <is>
          <t xml:space="preserve"> -</t>
        </is>
      </c>
      <c r="F25" t="inlineStr">
        <is>
          <t xml:space="preserve"> -</t>
        </is>
      </c>
      <c r="H25" t="inlineStr">
        <is>
          <t xml:space="preserve"> -</t>
        </is>
      </c>
      <c r="I25" t="inlineStr">
        <is>
          <t xml:space="preserve"> -</t>
        </is>
      </c>
      <c r="K25" t="inlineStr">
        <is>
          <t xml:space="preserve"> -</t>
        </is>
      </c>
      <c r="L25" t="inlineStr">
        <is>
          <t xml:space="preserve"> -</t>
        </is>
      </c>
      <c r="N25" t="n">
        <v>177.8867</v>
      </c>
      <c r="O25" t="inlineStr">
        <is>
          <t xml:space="preserve"> -</t>
        </is>
      </c>
      <c r="Q25" t="n">
        <v>178.93</v>
      </c>
      <c r="R25" t="n">
        <v>0</v>
      </c>
      <c r="T25" t="inlineStr">
        <is>
          <t xml:space="preserve"> -</t>
        </is>
      </c>
      <c r="U25" t="inlineStr">
        <is>
          <t xml:space="preserve"> -</t>
        </is>
      </c>
      <c r="W25" t="inlineStr">
        <is>
          <t xml:space="preserve"> -</t>
        </is>
      </c>
      <c r="X25" t="inlineStr">
        <is>
          <t xml:space="preserve"> -</t>
        </is>
      </c>
      <c r="Z25" t="inlineStr">
        <is>
          <t xml:space="preserve"> -</t>
        </is>
      </c>
      <c r="AA25" t="inlineStr">
        <is>
          <t xml:space="preserve"> -</t>
        </is>
      </c>
      <c r="AC25" t="inlineStr">
        <is>
          <t xml:space="preserve"> -</t>
        </is>
      </c>
      <c r="AD25" t="inlineStr">
        <is>
          <t xml:space="preserve"> -</t>
        </is>
      </c>
      <c r="AF25" t="inlineStr">
        <is>
          <t>-</t>
        </is>
      </c>
      <c r="AG25" t="inlineStr">
        <is>
          <t>-</t>
        </is>
      </c>
      <c r="AI25" t="inlineStr">
        <is>
          <t>-</t>
        </is>
      </c>
      <c r="AJ25" t="inlineStr">
        <is>
          <t>-</t>
        </is>
      </c>
      <c r="AL25" t="inlineStr">
        <is>
          <t>-</t>
        </is>
      </c>
      <c r="AM25" t="inlineStr">
        <is>
          <t>-</t>
        </is>
      </c>
      <c r="AO25" t="inlineStr">
        <is>
          <t>-</t>
        </is>
      </c>
      <c r="AP25" t="inlineStr">
        <is>
          <t>-</t>
        </is>
      </c>
      <c r="AR25" t="inlineStr">
        <is>
          <t>-</t>
        </is>
      </c>
      <c r="AS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Bono Ley 4472 - Clase 12</t>
        </is>
      </c>
      <c r="B26" t="inlineStr">
        <is>
          <t xml:space="preserve"> -</t>
        </is>
      </c>
      <c r="C26" t="inlineStr">
        <is>
          <t xml:space="preserve"> -</t>
        </is>
      </c>
      <c r="E26" t="inlineStr">
        <is>
          <t xml:space="preserve"> -</t>
        </is>
      </c>
      <c r="F26" t="inlineStr">
        <is>
          <t xml:space="preserve"> -</t>
        </is>
      </c>
      <c r="H26" t="inlineStr">
        <is>
          <t xml:space="preserve"> -</t>
        </is>
      </c>
      <c r="I26" t="inlineStr">
        <is>
          <t xml:space="preserve"> -</t>
        </is>
      </c>
      <c r="K26" t="inlineStr">
        <is>
          <t xml:space="preserve"> -</t>
        </is>
      </c>
      <c r="L26" t="inlineStr">
        <is>
          <t xml:space="preserve"> -</t>
        </is>
      </c>
      <c r="N26" t="inlineStr">
        <is>
          <t xml:space="preserve"> -</t>
        </is>
      </c>
      <c r="O26" t="inlineStr">
        <is>
          <t xml:space="preserve"> -</t>
        </is>
      </c>
      <c r="Q26" t="inlineStr">
        <is>
          <t xml:space="preserve"> -</t>
        </is>
      </c>
      <c r="R26" t="n">
        <v>37.3</v>
      </c>
      <c r="T26" t="inlineStr">
        <is>
          <t xml:space="preserve"> -</t>
        </is>
      </c>
      <c r="U26" t="inlineStr">
        <is>
          <t xml:space="preserve"> -</t>
        </is>
      </c>
      <c r="W26" t="inlineStr">
        <is>
          <t xml:space="preserve"> -</t>
        </is>
      </c>
      <c r="X26" t="inlineStr">
        <is>
          <t xml:space="preserve"> -</t>
        </is>
      </c>
      <c r="Z26" t="inlineStr">
        <is>
          <t xml:space="preserve"> -</t>
        </is>
      </c>
      <c r="AA26" t="inlineStr">
        <is>
          <t xml:space="preserve"> -</t>
        </is>
      </c>
      <c r="AC26" t="inlineStr">
        <is>
          <t xml:space="preserve"> -</t>
        </is>
      </c>
      <c r="AD26" t="inlineStr">
        <is>
          <t xml:space="preserve"> -</t>
        </is>
      </c>
      <c r="AF26" t="inlineStr">
        <is>
          <t>-</t>
        </is>
      </c>
      <c r="AG26" t="inlineStr">
        <is>
          <t>-</t>
        </is>
      </c>
      <c r="AI26" t="inlineStr">
        <is>
          <t>-</t>
        </is>
      </c>
      <c r="AJ26" t="inlineStr">
        <is>
          <t>-</t>
        </is>
      </c>
      <c r="AL26" t="inlineStr">
        <is>
          <t>-</t>
        </is>
      </c>
      <c r="AM26" t="inlineStr">
        <is>
          <t>-</t>
        </is>
      </c>
      <c r="AO26" t="inlineStr">
        <is>
          <t>-</t>
        </is>
      </c>
      <c r="AP26" t="inlineStr">
        <is>
          <t>-</t>
        </is>
      </c>
      <c r="AR26" t="inlineStr">
        <is>
          <t>-</t>
        </is>
      </c>
      <c r="AS26" t="inlineStr">
        <is>
          <t>-</t>
        </is>
      </c>
      <c r="AU26" t="inlineStr">
        <is>
          <t>-</t>
        </is>
      </c>
      <c r="AV26" t="inlineStr">
        <is>
          <t>-</t>
        </is>
      </c>
    </row>
    <row r="27">
      <c r="A27" t="inlineStr">
        <is>
          <t>Bono Ley 4472 - Clase 13</t>
        </is>
      </c>
      <c r="B27" t="inlineStr">
        <is>
          <t xml:space="preserve"> -</t>
        </is>
      </c>
      <c r="C27" t="inlineStr">
        <is>
          <t xml:space="preserve"> -</t>
        </is>
      </c>
      <c r="E27" t="inlineStr">
        <is>
          <t xml:space="preserve"> -</t>
        </is>
      </c>
      <c r="F27" t="inlineStr">
        <is>
          <t xml:space="preserve"> -</t>
        </is>
      </c>
      <c r="H27" t="inlineStr">
        <is>
          <t xml:space="preserve"> -</t>
        </is>
      </c>
      <c r="I27" t="inlineStr">
        <is>
          <t xml:space="preserve"> -</t>
        </is>
      </c>
      <c r="K27" t="inlineStr">
        <is>
          <t xml:space="preserve"> -</t>
        </is>
      </c>
      <c r="L27" t="inlineStr">
        <is>
          <t xml:space="preserve"> -</t>
        </is>
      </c>
      <c r="N27" t="inlineStr">
        <is>
          <t xml:space="preserve"> -</t>
        </is>
      </c>
      <c r="O27" t="inlineStr">
        <is>
          <t xml:space="preserve"> -</t>
        </is>
      </c>
      <c r="Q27" t="n">
        <v>471.19</v>
      </c>
      <c r="R27" t="inlineStr">
        <is>
          <t>-</t>
        </is>
      </c>
      <c r="T27" t="inlineStr">
        <is>
          <t xml:space="preserve"> -</t>
        </is>
      </c>
      <c r="U27" t="inlineStr">
        <is>
          <t xml:space="preserve"> -</t>
        </is>
      </c>
      <c r="W27" t="inlineStr">
        <is>
          <t xml:space="preserve"> -</t>
        </is>
      </c>
      <c r="X27" t="inlineStr">
        <is>
          <t xml:space="preserve"> -</t>
        </is>
      </c>
      <c r="Z27" t="inlineStr">
        <is>
          <t xml:space="preserve"> -</t>
        </is>
      </c>
      <c r="AA27" t="inlineStr">
        <is>
          <t xml:space="preserve"> -</t>
        </is>
      </c>
      <c r="AC27" t="inlineStr">
        <is>
          <t xml:space="preserve"> -</t>
        </is>
      </c>
      <c r="AD27" t="inlineStr">
        <is>
          <t xml:space="preserve"> -</t>
        </is>
      </c>
      <c r="AF27" t="inlineStr">
        <is>
          <t>-</t>
        </is>
      </c>
      <c r="AG27" t="inlineStr">
        <is>
          <t>-</t>
        </is>
      </c>
      <c r="AI27" t="inlineStr">
        <is>
          <t>-</t>
        </is>
      </c>
      <c r="AJ27" t="inlineStr">
        <is>
          <t>-</t>
        </is>
      </c>
      <c r="AL27" t="inlineStr">
        <is>
          <t>-</t>
        </is>
      </c>
      <c r="AM27" t="inlineStr">
        <is>
          <t>-</t>
        </is>
      </c>
      <c r="AO27" t="inlineStr">
        <is>
          <t>-</t>
        </is>
      </c>
      <c r="AP27" t="inlineStr">
        <is>
          <t>-</t>
        </is>
      </c>
      <c r="AR27" t="inlineStr">
        <is>
          <t>-</t>
        </is>
      </c>
      <c r="AS27" t="inlineStr">
        <is>
          <t>-</t>
        </is>
      </c>
      <c r="AU27" t="inlineStr">
        <is>
          <t>-</t>
        </is>
      </c>
      <c r="AV27" t="inlineStr">
        <is>
          <t>-</t>
        </is>
      </c>
    </row>
    <row r="28">
      <c r="A28" t="inlineStr">
        <is>
          <t>Bono Ley 4472 - Clase 14</t>
        </is>
      </c>
      <c r="B28" t="inlineStr">
        <is>
          <t xml:space="preserve"> -</t>
        </is>
      </c>
      <c r="C28" t="inlineStr">
        <is>
          <t xml:space="preserve"> -</t>
        </is>
      </c>
      <c r="E28" t="inlineStr">
        <is>
          <t xml:space="preserve"> -</t>
        </is>
      </c>
      <c r="F28" t="inlineStr">
        <is>
          <t xml:space="preserve"> -</t>
        </is>
      </c>
      <c r="H28" t="inlineStr">
        <is>
          <t xml:space="preserve"> -</t>
        </is>
      </c>
      <c r="I28" t="inlineStr">
        <is>
          <t xml:space="preserve"> -</t>
        </is>
      </c>
      <c r="K28" t="inlineStr">
        <is>
          <t xml:space="preserve"> -</t>
        </is>
      </c>
      <c r="L28" t="inlineStr">
        <is>
          <t xml:space="preserve"> -</t>
        </is>
      </c>
      <c r="N28" t="inlineStr">
        <is>
          <t xml:space="preserve"> -</t>
        </is>
      </c>
      <c r="O28" t="inlineStr">
        <is>
          <t xml:space="preserve"> -</t>
        </is>
      </c>
      <c r="Q28" t="n">
        <v>105.75</v>
      </c>
      <c r="R28" t="inlineStr">
        <is>
          <t xml:space="preserve"> -</t>
        </is>
      </c>
      <c r="T28" t="n">
        <v>105.096</v>
      </c>
      <c r="U28" t="inlineStr">
        <is>
          <t xml:space="preserve"> -</t>
        </is>
      </c>
      <c r="W28" t="n">
        <v>14.7578</v>
      </c>
      <c r="X28" t="inlineStr">
        <is>
          <t xml:space="preserve"> -</t>
        </is>
      </c>
      <c r="Z28" t="inlineStr">
        <is>
          <t xml:space="preserve"> -</t>
        </is>
      </c>
      <c r="AA28" t="inlineStr">
        <is>
          <t xml:space="preserve"> -</t>
        </is>
      </c>
      <c r="AC28" t="inlineStr">
        <is>
          <t xml:space="preserve"> -</t>
        </is>
      </c>
      <c r="AD28" t="inlineStr">
        <is>
          <t xml:space="preserve"> -</t>
        </is>
      </c>
      <c r="AF28" t="inlineStr">
        <is>
          <t>-</t>
        </is>
      </c>
      <c r="AG28" t="inlineStr">
        <is>
          <t>-</t>
        </is>
      </c>
      <c r="AI28" t="inlineStr">
        <is>
          <t>-</t>
        </is>
      </c>
      <c r="AJ28" t="inlineStr">
        <is>
          <t>-</t>
        </is>
      </c>
      <c r="AL28" t="inlineStr">
        <is>
          <t>-</t>
        </is>
      </c>
      <c r="AM28" t="inlineStr">
        <is>
          <t>-</t>
        </is>
      </c>
      <c r="AO28" t="inlineStr">
        <is>
          <t>-</t>
        </is>
      </c>
      <c r="AP28" t="inlineStr">
        <is>
          <t>-</t>
        </is>
      </c>
      <c r="AR28" t="inlineStr">
        <is>
          <t>-</t>
        </is>
      </c>
      <c r="AS28" t="inlineStr">
        <is>
          <t>-</t>
        </is>
      </c>
      <c r="AU28" t="inlineStr">
        <is>
          <t>-</t>
        </is>
      </c>
      <c r="AV28" t="inlineStr">
        <is>
          <t>-</t>
        </is>
      </c>
    </row>
    <row r="29">
      <c r="A29" t="inlineStr">
        <is>
          <t>Bono Ley 4472 - Clase 15</t>
        </is>
      </c>
      <c r="B29" t="inlineStr">
        <is>
          <t xml:space="preserve"> -</t>
        </is>
      </c>
      <c r="C29" t="inlineStr">
        <is>
          <t xml:space="preserve"> -</t>
        </is>
      </c>
      <c r="E29" t="inlineStr">
        <is>
          <t xml:space="preserve"> -</t>
        </is>
      </c>
      <c r="F29" t="inlineStr">
        <is>
          <t xml:space="preserve"> -</t>
        </is>
      </c>
      <c r="H29" t="inlineStr">
        <is>
          <t xml:space="preserve"> -</t>
        </is>
      </c>
      <c r="I29" t="inlineStr">
        <is>
          <t xml:space="preserve"> -</t>
        </is>
      </c>
      <c r="K29" t="inlineStr">
        <is>
          <t xml:space="preserve"> -</t>
        </is>
      </c>
      <c r="L29" t="inlineStr">
        <is>
          <t xml:space="preserve"> -</t>
        </is>
      </c>
      <c r="N29" t="inlineStr">
        <is>
          <t xml:space="preserve"> -</t>
        </is>
      </c>
      <c r="O29" t="inlineStr">
        <is>
          <t xml:space="preserve"> -</t>
        </is>
      </c>
      <c r="Q29" t="n">
        <v>263.51</v>
      </c>
      <c r="R29" t="inlineStr">
        <is>
          <t xml:space="preserve"> -</t>
        </is>
      </c>
      <c r="T29" t="n">
        <v>158.0583</v>
      </c>
      <c r="U29" t="inlineStr">
        <is>
          <t xml:space="preserve"> -</t>
        </is>
      </c>
      <c r="W29" t="n">
        <v>21.9288</v>
      </c>
      <c r="X29" t="inlineStr">
        <is>
          <t xml:space="preserve"> -</t>
        </is>
      </c>
      <c r="Z29" t="inlineStr">
        <is>
          <t xml:space="preserve"> -</t>
        </is>
      </c>
      <c r="AA29" t="inlineStr">
        <is>
          <t xml:space="preserve"> -</t>
        </is>
      </c>
      <c r="AC29" t="inlineStr">
        <is>
          <t xml:space="preserve"> -</t>
        </is>
      </c>
      <c r="AD29" t="inlineStr">
        <is>
          <t xml:space="preserve"> -</t>
        </is>
      </c>
      <c r="AF29" t="inlineStr">
        <is>
          <t>-</t>
        </is>
      </c>
      <c r="AG29" t="inlineStr">
        <is>
          <t>-</t>
        </is>
      </c>
      <c r="AI29" t="inlineStr">
        <is>
          <t>-</t>
        </is>
      </c>
      <c r="AJ29" t="inlineStr">
        <is>
          <t>-</t>
        </is>
      </c>
      <c r="AL29" t="inlineStr">
        <is>
          <t>-</t>
        </is>
      </c>
      <c r="AM29" t="inlineStr">
        <is>
          <t>-</t>
        </is>
      </c>
      <c r="AO29" t="inlineStr">
        <is>
          <t>-</t>
        </is>
      </c>
      <c r="AP29" t="inlineStr">
        <is>
          <t>-</t>
        </is>
      </c>
      <c r="AR29" t="inlineStr">
        <is>
          <t>-</t>
        </is>
      </c>
      <c r="AS29" t="inlineStr">
        <is>
          <t>-</t>
        </is>
      </c>
      <c r="AU29" t="inlineStr">
        <is>
          <t>-</t>
        </is>
      </c>
      <c r="AV29" t="inlineStr">
        <is>
          <t>-</t>
        </is>
      </c>
    </row>
    <row r="30">
      <c r="A30" t="inlineStr">
        <is>
          <t>Bono Ley 5496 - Clase 16</t>
        </is>
      </c>
      <c r="B30" t="inlineStr">
        <is>
          <t xml:space="preserve"> -</t>
        </is>
      </c>
      <c r="C30" t="inlineStr">
        <is>
          <t xml:space="preserve"> -</t>
        </is>
      </c>
      <c r="E30" t="inlineStr">
        <is>
          <t xml:space="preserve"> -</t>
        </is>
      </c>
      <c r="F30" t="inlineStr">
        <is>
          <t xml:space="preserve"> -</t>
        </is>
      </c>
      <c r="H30" t="inlineStr">
        <is>
          <t xml:space="preserve"> -</t>
        </is>
      </c>
      <c r="I30" t="inlineStr">
        <is>
          <t xml:space="preserve"> -</t>
        </is>
      </c>
      <c r="K30" t="inlineStr">
        <is>
          <t xml:space="preserve"> -</t>
        </is>
      </c>
      <c r="L30" t="inlineStr">
        <is>
          <t xml:space="preserve"> -</t>
        </is>
      </c>
      <c r="N30" t="inlineStr">
        <is>
          <t xml:space="preserve"> -</t>
        </is>
      </c>
      <c r="O30" t="inlineStr">
        <is>
          <t xml:space="preserve"> -</t>
        </is>
      </c>
      <c r="Q30" t="inlineStr">
        <is>
          <t xml:space="preserve"> -</t>
        </is>
      </c>
      <c r="R30" t="inlineStr">
        <is>
          <t xml:space="preserve"> -</t>
        </is>
      </c>
      <c r="T30" t="n">
        <v>987.4806</v>
      </c>
      <c r="U30" t="inlineStr">
        <is>
          <t xml:space="preserve"> -</t>
        </is>
      </c>
      <c r="W30" t="n">
        <v>265.8611</v>
      </c>
      <c r="X30" t="inlineStr">
        <is>
          <t xml:space="preserve"> -</t>
        </is>
      </c>
      <c r="Z30" t="n">
        <v>207.8383</v>
      </c>
      <c r="AA30" t="inlineStr">
        <is>
          <t xml:space="preserve"> -</t>
        </is>
      </c>
      <c r="AC30" t="n">
        <v>68.62140000000001</v>
      </c>
      <c r="AD30" t="inlineStr">
        <is>
          <t xml:space="preserve"> -</t>
        </is>
      </c>
      <c r="AF30" t="inlineStr">
        <is>
          <t>-</t>
        </is>
      </c>
      <c r="AG30" t="inlineStr">
        <is>
          <t>-</t>
        </is>
      </c>
      <c r="AI30" t="inlineStr">
        <is>
          <t>-</t>
        </is>
      </c>
      <c r="AJ30" t="inlineStr">
        <is>
          <t>-</t>
        </is>
      </c>
      <c r="AL30" t="inlineStr">
        <is>
          <t>-</t>
        </is>
      </c>
      <c r="AM30" t="inlineStr">
        <is>
          <t>-</t>
        </is>
      </c>
      <c r="AO30" t="inlineStr">
        <is>
          <t>-</t>
        </is>
      </c>
      <c r="AP30" t="inlineStr">
        <is>
          <t>-</t>
        </is>
      </c>
      <c r="AR30" t="inlineStr">
        <is>
          <t>-</t>
        </is>
      </c>
      <c r="AS30" t="inlineStr">
        <is>
          <t>-</t>
        </is>
      </c>
      <c r="AU30" t="inlineStr">
        <is>
          <t>-</t>
        </is>
      </c>
      <c r="AV30" t="inlineStr">
        <is>
          <t>-</t>
        </is>
      </c>
    </row>
    <row r="31">
      <c r="A31" t="inlineStr">
        <is>
          <t>Bono Ley 5491 - Clase 17</t>
        </is>
      </c>
      <c r="B31" t="inlineStr">
        <is>
          <t xml:space="preserve"> -</t>
        </is>
      </c>
      <c r="C31" t="inlineStr">
        <is>
          <t xml:space="preserve"> -</t>
        </is>
      </c>
      <c r="E31" t="inlineStr">
        <is>
          <t xml:space="preserve"> -</t>
        </is>
      </c>
      <c r="F31" t="inlineStr">
        <is>
          <t xml:space="preserve"> -</t>
        </is>
      </c>
      <c r="H31" t="inlineStr">
        <is>
          <t xml:space="preserve"> -</t>
        </is>
      </c>
      <c r="I31" t="inlineStr">
        <is>
          <t xml:space="preserve"> -</t>
        </is>
      </c>
      <c r="K31" t="inlineStr">
        <is>
          <t xml:space="preserve"> -</t>
        </is>
      </c>
      <c r="L31" t="inlineStr">
        <is>
          <t xml:space="preserve"> -</t>
        </is>
      </c>
      <c r="N31" t="inlineStr">
        <is>
          <t xml:space="preserve"> -</t>
        </is>
      </c>
      <c r="O31" t="inlineStr">
        <is>
          <t xml:space="preserve"> -</t>
        </is>
      </c>
      <c r="Q31" t="inlineStr">
        <is>
          <t xml:space="preserve"> -</t>
        </is>
      </c>
      <c r="R31" t="inlineStr">
        <is>
          <t xml:space="preserve"> -</t>
        </is>
      </c>
      <c r="T31" t="n">
        <v>374.0368</v>
      </c>
      <c r="U31" t="inlineStr">
        <is>
          <t xml:space="preserve"> -</t>
        </is>
      </c>
      <c r="W31" t="inlineStr">
        <is>
          <t>-</t>
        </is>
      </c>
      <c r="X31" t="inlineStr">
        <is>
          <t xml:space="preserve"> -</t>
        </is>
      </c>
      <c r="Z31" t="inlineStr">
        <is>
          <t>-</t>
        </is>
      </c>
      <c r="AA31" t="inlineStr">
        <is>
          <t xml:space="preserve"> -</t>
        </is>
      </c>
      <c r="AC31" t="inlineStr">
        <is>
          <t xml:space="preserve"> -</t>
        </is>
      </c>
      <c r="AD31" t="inlineStr">
        <is>
          <t xml:space="preserve"> -</t>
        </is>
      </c>
      <c r="AF31" t="inlineStr">
        <is>
          <t>-</t>
        </is>
      </c>
      <c r="AG31" t="inlineStr">
        <is>
          <t>-</t>
        </is>
      </c>
      <c r="AI31" t="inlineStr">
        <is>
          <t>-</t>
        </is>
      </c>
      <c r="AJ31" t="inlineStr">
        <is>
          <t>-</t>
        </is>
      </c>
      <c r="AL31" t="inlineStr">
        <is>
          <t>-</t>
        </is>
      </c>
      <c r="AM31" t="inlineStr">
        <is>
          <t>-</t>
        </is>
      </c>
      <c r="AO31" t="inlineStr">
        <is>
          <t>-</t>
        </is>
      </c>
      <c r="AP31" t="inlineStr">
        <is>
          <t>-</t>
        </is>
      </c>
      <c r="AR31" t="inlineStr">
        <is>
          <t>-</t>
        </is>
      </c>
      <c r="AS31" t="inlineStr">
        <is>
          <t>-</t>
        </is>
      </c>
      <c r="AU31" t="inlineStr">
        <is>
          <t>-</t>
        </is>
      </c>
      <c r="AV31" t="inlineStr">
        <is>
          <t>-</t>
        </is>
      </c>
    </row>
    <row r="32">
      <c r="A32" t="inlineStr">
        <is>
          <t>Bono Ley 5491 - Clase 18</t>
        </is>
      </c>
      <c r="B32" t="inlineStr">
        <is>
          <t xml:space="preserve"> -</t>
        </is>
      </c>
      <c r="C32" t="inlineStr">
        <is>
          <t xml:space="preserve"> -</t>
        </is>
      </c>
      <c r="E32" t="inlineStr">
        <is>
          <t xml:space="preserve"> -</t>
        </is>
      </c>
      <c r="F32" t="inlineStr">
        <is>
          <t xml:space="preserve"> -</t>
        </is>
      </c>
      <c r="H32" t="inlineStr">
        <is>
          <t xml:space="preserve"> -</t>
        </is>
      </c>
      <c r="I32" t="inlineStr">
        <is>
          <t xml:space="preserve"> -</t>
        </is>
      </c>
      <c r="K32" t="inlineStr">
        <is>
          <t xml:space="preserve"> -</t>
        </is>
      </c>
      <c r="L32" t="inlineStr">
        <is>
          <t xml:space="preserve"> -</t>
        </is>
      </c>
      <c r="N32" t="inlineStr">
        <is>
          <t xml:space="preserve"> -</t>
        </is>
      </c>
      <c r="O32" t="inlineStr">
        <is>
          <t xml:space="preserve"> -</t>
        </is>
      </c>
      <c r="Q32" t="inlineStr">
        <is>
          <t xml:space="preserve"> -</t>
        </is>
      </c>
      <c r="R32" t="inlineStr">
        <is>
          <t xml:space="preserve"> -</t>
        </is>
      </c>
      <c r="T32" t="n">
        <v>1756.0302</v>
      </c>
      <c r="U32" t="inlineStr">
        <is>
          <t xml:space="preserve"> -</t>
        </is>
      </c>
      <c r="W32" t="n">
        <v>805.2030999999999</v>
      </c>
      <c r="X32" t="inlineStr">
        <is>
          <t xml:space="preserve"> -</t>
        </is>
      </c>
      <c r="Z32" t="n">
        <v>525.878</v>
      </c>
      <c r="AA32" t="inlineStr">
        <is>
          <t xml:space="preserve"> -</t>
        </is>
      </c>
      <c r="AC32" t="n">
        <v>173.8534</v>
      </c>
      <c r="AD32" t="inlineStr">
        <is>
          <t xml:space="preserve"> -</t>
        </is>
      </c>
      <c r="AF32" t="inlineStr">
        <is>
          <t>-</t>
        </is>
      </c>
      <c r="AG32" t="inlineStr">
        <is>
          <t>-</t>
        </is>
      </c>
      <c r="AI32" t="inlineStr">
        <is>
          <t>-</t>
        </is>
      </c>
      <c r="AJ32" t="inlineStr">
        <is>
          <t>-</t>
        </is>
      </c>
      <c r="AL32" t="inlineStr">
        <is>
          <t>-</t>
        </is>
      </c>
      <c r="AM32" t="inlineStr">
        <is>
          <t>-</t>
        </is>
      </c>
      <c r="AO32" t="inlineStr">
        <is>
          <t>-</t>
        </is>
      </c>
      <c r="AP32" t="inlineStr">
        <is>
          <t>-</t>
        </is>
      </c>
      <c r="AR32" t="inlineStr">
        <is>
          <t>-</t>
        </is>
      </c>
      <c r="AS32" t="inlineStr">
        <is>
          <t>-</t>
        </is>
      </c>
      <c r="AU32" t="inlineStr">
        <is>
          <t>-</t>
        </is>
      </c>
      <c r="AV32" t="inlineStr">
        <is>
          <t>-</t>
        </is>
      </c>
    </row>
    <row r="33">
      <c r="A33" t="inlineStr">
        <is>
          <t>Bono Ley 5491 - Clase 19</t>
        </is>
      </c>
      <c r="B33" t="inlineStr">
        <is>
          <t xml:space="preserve"> -</t>
        </is>
      </c>
      <c r="C33" t="inlineStr">
        <is>
          <t xml:space="preserve"> -</t>
        </is>
      </c>
      <c r="E33" t="inlineStr">
        <is>
          <t xml:space="preserve"> -</t>
        </is>
      </c>
      <c r="F33" t="inlineStr">
        <is>
          <t xml:space="preserve"> -</t>
        </is>
      </c>
      <c r="H33" t="inlineStr">
        <is>
          <t xml:space="preserve"> -</t>
        </is>
      </c>
      <c r="I33" t="inlineStr">
        <is>
          <t xml:space="preserve"> -</t>
        </is>
      </c>
      <c r="K33" t="inlineStr">
        <is>
          <t xml:space="preserve"> -</t>
        </is>
      </c>
      <c r="L33" t="inlineStr">
        <is>
          <t xml:space="preserve"> -</t>
        </is>
      </c>
      <c r="N33" t="inlineStr">
        <is>
          <t xml:space="preserve"> -</t>
        </is>
      </c>
      <c r="O33" t="inlineStr">
        <is>
          <t xml:space="preserve"> -</t>
        </is>
      </c>
      <c r="Q33" t="inlineStr">
        <is>
          <t xml:space="preserve"> -</t>
        </is>
      </c>
      <c r="R33" t="inlineStr">
        <is>
          <t xml:space="preserve"> -</t>
        </is>
      </c>
      <c r="T33" t="inlineStr">
        <is>
          <t xml:space="preserve"> -</t>
        </is>
      </c>
      <c r="U33" t="inlineStr">
        <is>
          <t xml:space="preserve"> -</t>
        </is>
      </c>
      <c r="W33" t="n">
        <v>164.2754</v>
      </c>
      <c r="X33" t="inlineStr">
        <is>
          <t xml:space="preserve"> -</t>
        </is>
      </c>
      <c r="Z33" t="inlineStr">
        <is>
          <t xml:space="preserve"> -</t>
        </is>
      </c>
      <c r="AA33" t="inlineStr">
        <is>
          <t xml:space="preserve"> -</t>
        </is>
      </c>
      <c r="AC33" t="inlineStr">
        <is>
          <t xml:space="preserve"> -</t>
        </is>
      </c>
      <c r="AD33" t="inlineStr">
        <is>
          <t xml:space="preserve"> -</t>
        </is>
      </c>
      <c r="AF33" t="inlineStr">
        <is>
          <t>-</t>
        </is>
      </c>
      <c r="AG33" t="inlineStr">
        <is>
          <t>-</t>
        </is>
      </c>
      <c r="AI33" t="inlineStr">
        <is>
          <t>-</t>
        </is>
      </c>
      <c r="AJ33" t="inlineStr">
        <is>
          <t>-</t>
        </is>
      </c>
      <c r="AL33" t="inlineStr">
        <is>
          <t>-</t>
        </is>
      </c>
      <c r="AM33" t="inlineStr">
        <is>
          <t>-</t>
        </is>
      </c>
      <c r="AO33" t="inlineStr">
        <is>
          <t>-</t>
        </is>
      </c>
      <c r="AP33" t="inlineStr">
        <is>
          <t>-</t>
        </is>
      </c>
      <c r="AR33" t="inlineStr">
        <is>
          <t>-</t>
        </is>
      </c>
      <c r="AS33" t="inlineStr">
        <is>
          <t>-</t>
        </is>
      </c>
      <c r="AU33" t="inlineStr">
        <is>
          <t>-</t>
        </is>
      </c>
      <c r="AV33" t="inlineStr">
        <is>
          <t>-</t>
        </is>
      </c>
    </row>
    <row r="34">
      <c r="A34" t="inlineStr">
        <is>
          <t>Bono Ley 5491 - Clase 20</t>
        </is>
      </c>
      <c r="B34" t="inlineStr">
        <is>
          <t xml:space="preserve"> -</t>
        </is>
      </c>
      <c r="C34" t="inlineStr">
        <is>
          <t xml:space="preserve"> -</t>
        </is>
      </c>
      <c r="E34" t="inlineStr">
        <is>
          <t xml:space="preserve"> -</t>
        </is>
      </c>
      <c r="F34" t="inlineStr">
        <is>
          <t xml:space="preserve"> -</t>
        </is>
      </c>
      <c r="H34" t="inlineStr">
        <is>
          <t xml:space="preserve"> -</t>
        </is>
      </c>
      <c r="I34" t="inlineStr">
        <is>
          <t xml:space="preserve"> -</t>
        </is>
      </c>
      <c r="K34" t="inlineStr">
        <is>
          <t xml:space="preserve"> -</t>
        </is>
      </c>
      <c r="L34" t="inlineStr">
        <is>
          <t xml:space="preserve"> -</t>
        </is>
      </c>
      <c r="N34" t="inlineStr">
        <is>
          <t xml:space="preserve"> -</t>
        </is>
      </c>
      <c r="O34" t="inlineStr">
        <is>
          <t xml:space="preserve"> -</t>
        </is>
      </c>
      <c r="Q34" t="inlineStr">
        <is>
          <t xml:space="preserve"> -</t>
        </is>
      </c>
      <c r="R34" t="inlineStr">
        <is>
          <t xml:space="preserve"> -</t>
        </is>
      </c>
      <c r="T34" t="inlineStr">
        <is>
          <t xml:space="preserve"> -</t>
        </is>
      </c>
      <c r="U34" t="inlineStr">
        <is>
          <t xml:space="preserve"> -</t>
        </is>
      </c>
      <c r="W34" t="n">
        <v>3904.4523</v>
      </c>
      <c r="X34" t="inlineStr">
        <is>
          <t xml:space="preserve"> -</t>
        </is>
      </c>
      <c r="Z34" t="n">
        <v>4099.7298</v>
      </c>
      <c r="AA34" t="inlineStr">
        <is>
          <t xml:space="preserve"> -</t>
        </is>
      </c>
      <c r="AC34" t="n">
        <v>10928.847</v>
      </c>
      <c r="AD34" t="inlineStr">
        <is>
          <t xml:space="preserve"> -</t>
        </is>
      </c>
      <c r="AF34" t="n">
        <v>20784.6886</v>
      </c>
      <c r="AG34" t="inlineStr">
        <is>
          <t>-</t>
        </is>
      </c>
      <c r="AI34" t="n">
        <v>10772.1</v>
      </c>
      <c r="AJ34" t="inlineStr">
        <is>
          <t>-</t>
        </is>
      </c>
      <c r="AL34" t="inlineStr">
        <is>
          <t>-</t>
        </is>
      </c>
      <c r="AM34" t="inlineStr">
        <is>
          <t>-</t>
        </is>
      </c>
      <c r="AO34" t="inlineStr">
        <is>
          <t>-</t>
        </is>
      </c>
      <c r="AP34" t="inlineStr">
        <is>
          <t>-</t>
        </is>
      </c>
      <c r="AR34" t="inlineStr">
        <is>
          <t>-</t>
        </is>
      </c>
      <c r="AS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Bono Leyes 5541-5725 y 5727 - Clase 22</t>
        </is>
      </c>
      <c r="B35" t="inlineStr">
        <is>
          <t xml:space="preserve"> -</t>
        </is>
      </c>
      <c r="C35" t="inlineStr">
        <is>
          <t xml:space="preserve"> -</t>
        </is>
      </c>
      <c r="E35" t="inlineStr">
        <is>
          <t xml:space="preserve"> -</t>
        </is>
      </c>
      <c r="F35" t="inlineStr">
        <is>
          <t xml:space="preserve"> -</t>
        </is>
      </c>
      <c r="H35" t="inlineStr">
        <is>
          <t xml:space="preserve"> -</t>
        </is>
      </c>
      <c r="I35" t="inlineStr">
        <is>
          <t xml:space="preserve"> -</t>
        </is>
      </c>
      <c r="K35" t="inlineStr">
        <is>
          <t xml:space="preserve"> -</t>
        </is>
      </c>
      <c r="L35" t="inlineStr">
        <is>
          <t xml:space="preserve"> -</t>
        </is>
      </c>
      <c r="N35" t="inlineStr">
        <is>
          <t xml:space="preserve"> -</t>
        </is>
      </c>
      <c r="O35" t="inlineStr">
        <is>
          <t xml:space="preserve"> -</t>
        </is>
      </c>
      <c r="Q35" t="inlineStr">
        <is>
          <t xml:space="preserve"> -</t>
        </is>
      </c>
      <c r="R35" t="inlineStr">
        <is>
          <t xml:space="preserve"> -</t>
        </is>
      </c>
      <c r="T35" t="inlineStr">
        <is>
          <t xml:space="preserve"> -</t>
        </is>
      </c>
      <c r="U35" t="inlineStr">
        <is>
          <t xml:space="preserve"> -</t>
        </is>
      </c>
      <c r="W35" t="n">
        <v>9449.514599999999</v>
      </c>
      <c r="X35" t="inlineStr">
        <is>
          <t xml:space="preserve"> -</t>
        </is>
      </c>
      <c r="Z35" t="n">
        <v>9465.205</v>
      </c>
      <c r="AA35" t="inlineStr">
        <is>
          <t xml:space="preserve"> -</t>
        </is>
      </c>
      <c r="AC35" t="n">
        <v>22714.4914</v>
      </c>
      <c r="AD35" t="inlineStr">
        <is>
          <t xml:space="preserve"> -</t>
        </is>
      </c>
      <c r="AF35" t="n">
        <v>34299.6828</v>
      </c>
      <c r="AG35" t="inlineStr">
        <is>
          <t>-</t>
        </is>
      </c>
      <c r="AI35" t="n">
        <v>43603.4</v>
      </c>
      <c r="AJ35" t="inlineStr">
        <is>
          <t>-</t>
        </is>
      </c>
      <c r="AL35" t="n">
        <v>26003.2</v>
      </c>
      <c r="AM35" t="inlineStr">
        <is>
          <t>-</t>
        </is>
      </c>
      <c r="AO35" t="n">
        <v>26003.3</v>
      </c>
      <c r="AP35" t="inlineStr">
        <is>
          <t>-</t>
        </is>
      </c>
      <c r="AR35" t="inlineStr">
        <is>
          <t>-</t>
        </is>
      </c>
      <c r="AS35" t="inlineStr">
        <is>
          <t>-</t>
        </is>
      </c>
      <c r="AU35" t="inlineStr">
        <is>
          <t>-</t>
        </is>
      </c>
      <c r="AV35" t="inlineStr">
        <is>
          <t>-</t>
        </is>
      </c>
    </row>
    <row r="36">
      <c r="A36" t="inlineStr">
        <is>
          <t>Bono Ley 5876 - Clase 23</t>
        </is>
      </c>
      <c r="B36" t="inlineStr">
        <is>
          <t xml:space="preserve"> -</t>
        </is>
      </c>
      <c r="C36" t="inlineStr">
        <is>
          <t xml:space="preserve"> -</t>
        </is>
      </c>
      <c r="E36" t="inlineStr">
        <is>
          <t xml:space="preserve"> -</t>
        </is>
      </c>
      <c r="F36" t="inlineStr">
        <is>
          <t xml:space="preserve"> -</t>
        </is>
      </c>
      <c r="H36" t="inlineStr">
        <is>
          <t xml:space="preserve"> -</t>
        </is>
      </c>
      <c r="I36" t="inlineStr">
        <is>
          <t xml:space="preserve"> -</t>
        </is>
      </c>
      <c r="K36" t="inlineStr">
        <is>
          <t xml:space="preserve"> -</t>
        </is>
      </c>
      <c r="L36" t="inlineStr">
        <is>
          <t xml:space="preserve"> -</t>
        </is>
      </c>
      <c r="N36" t="inlineStr">
        <is>
          <t xml:space="preserve"> -</t>
        </is>
      </c>
      <c r="O36" t="inlineStr">
        <is>
          <t xml:space="preserve"> -</t>
        </is>
      </c>
      <c r="Q36" t="inlineStr">
        <is>
          <t xml:space="preserve"> -</t>
        </is>
      </c>
      <c r="R36" t="inlineStr">
        <is>
          <t xml:space="preserve"> -</t>
        </is>
      </c>
      <c r="T36" t="inlineStr">
        <is>
          <t xml:space="preserve"> -</t>
        </is>
      </c>
      <c r="U36" t="inlineStr">
        <is>
          <t xml:space="preserve"> -</t>
        </is>
      </c>
      <c r="W36" t="n">
        <v>7288.3968</v>
      </c>
      <c r="X36" t="inlineStr">
        <is>
          <t xml:space="preserve"> -</t>
        </is>
      </c>
      <c r="Z36" t="n">
        <v>14005.7112</v>
      </c>
      <c r="AA36" t="inlineStr">
        <is>
          <t xml:space="preserve"> -</t>
        </is>
      </c>
      <c r="AC36" t="n">
        <v>13897.1484</v>
      </c>
      <c r="AD36" t="inlineStr">
        <is>
          <t xml:space="preserve"> -</t>
        </is>
      </c>
      <c r="AF36" t="n">
        <v>13811.2963</v>
      </c>
      <c r="AG36" t="inlineStr">
        <is>
          <t>-</t>
        </is>
      </c>
      <c r="AI36" t="n">
        <v>13262.5</v>
      </c>
      <c r="AJ36" t="inlineStr">
        <is>
          <t>-</t>
        </is>
      </c>
      <c r="AL36" t="n">
        <v>30809.9</v>
      </c>
      <c r="AM36" t="inlineStr">
        <is>
          <t>-</t>
        </is>
      </c>
      <c r="AO36" t="n">
        <v>30809.9</v>
      </c>
      <c r="AP36" t="inlineStr">
        <is>
          <t>-</t>
        </is>
      </c>
      <c r="AR36" t="n">
        <v>30810</v>
      </c>
      <c r="AS36" t="inlineStr">
        <is>
          <t>-</t>
        </is>
      </c>
      <c r="AU36" t="n">
        <v>30809.9</v>
      </c>
      <c r="AV36" t="inlineStr">
        <is>
          <t>-</t>
        </is>
      </c>
    </row>
    <row r="37">
      <c r="A37" t="inlineStr">
        <is>
          <t>Fuente:  Instituto de Estadística y Censos de la Ciudad Autónoma de Buenos Aires (Jefatura de Gabinete de Ministros - GCBA)  sobre la base de datos del Ministerio de Hacienda y Finanzas GCBA. Dirección General de Crédito Público.</t>
        </is>
      </c>
    </row>
    <row r="38"/>
    <row r="39"/>
    <row r="40"/>
    <row r="41"/>
    <row r="42"/>
    <row r="43"/>
    <row r="44"/>
    <row r="45"/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Tadeo bessega</dc:creator>
  <dcterms:created xmlns:dcterms="http://purl.org/dc/terms/" xmlns:xsi="http://www.w3.org/2001/XMLSchema-instance" xsi:type="dcterms:W3CDTF">2025-08-16T17:07:59Z</dcterms:created>
  <dcterms:modified xmlns:dcterms="http://purl.org/dc/terms/" xmlns:xsi="http://www.w3.org/2001/XMLSchema-instance" xsi:type="dcterms:W3CDTF">2026-10-12T18:54:31Z</dcterms:modified>
  <cp:lastModifiedBy>Tadeo bessega</cp:lastModifiedBy>
</cp:coreProperties>
</file>